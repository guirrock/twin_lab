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ção Avaliador B- Turma e" sheetId="1" r:id="rId5"/>
    <sheet state="visible" name="Observação Avaliador A - Turma " sheetId="2" r:id="rId6"/>
    <sheet state="visible" name="Página3" sheetId="3" r:id="rId7"/>
    <sheet state="visible" name="Observação Avaliador C- Turma c" sheetId="4" r:id="rId8"/>
    <sheet state="visible" name="Resumo por Avaliador" sheetId="5" r:id="rId9"/>
    <sheet state="visible" name="Resumo Geral (Por Turma)" sheetId="6" r:id="rId10"/>
  </sheets>
  <definedNames/>
  <calcPr/>
</workbook>
</file>

<file path=xl/sharedStrings.xml><?xml version="1.0" encoding="utf-8"?>
<sst xmlns="http://schemas.openxmlformats.org/spreadsheetml/2006/main" count="378" uniqueCount="114">
  <si>
    <t>Ficha de Observador - Avaliação Individual de Segurança (IDSA)</t>
  </si>
  <si>
    <t>Aula: Medidas e Erros</t>
  </si>
  <si>
    <t>Turma: [ ] Controle [ X] Experimental</t>
  </si>
  <si>
    <t>Data: 02/09/2026</t>
  </si>
  <si>
    <t>Nome do Aluno</t>
  </si>
  <si>
    <t>1. Jaleco (0-2)</t>
  </si>
  <si>
    <t>2. Cabelos/Cabeça (0-2)</t>
  </si>
  <si>
    <t>3. Calçados (0-2)</t>
  </si>
  <si>
    <t>4. Insp. Vidraria (0-2)</t>
  </si>
  <si>
    <t>5. Leitura Menisco (0-2)</t>
  </si>
  <si>
    <t>6. Assepsia Balança (0-2)</t>
  </si>
  <si>
    <t>7. Manip. Balança (0-2)</t>
  </si>
  <si>
    <t>8. Org. Bancada (0-2)</t>
  </si>
  <si>
    <t>9. Gestão Resíduos (0-2)</t>
  </si>
  <si>
    <t>Total (Máx 18)</t>
  </si>
  <si>
    <t>IDSA</t>
  </si>
  <si>
    <t>Observações / Desvios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</si>
  <si>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</si>
  <si>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</si>
  <si>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</si>
  <si>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</si>
  <si>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</si>
  <si>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</si>
  <si>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</si>
  <si>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</si>
  <si>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</si>
  <si>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Média do Critério</t>
  </si>
  <si>
    <t>LEGENDA RÁPIDA DAS 9 RUBRICAS
(Notas: 2 = Seguro, 1 = Parcial/Desvio, 0 = Inseguro)</t>
  </si>
  <si>
    <t>Critério</t>
  </si>
  <si>
    <t>Descrição do Item</t>
  </si>
  <si>
    <t>Nota 2 (Seguro)</t>
  </si>
  <si>
    <t>Nota 1 (Parcial)</t>
  </si>
  <si>
    <t>Nota 0 (Inseguro)</t>
  </si>
  <si>
    <t>1. Jaleco</t>
  </si>
  <si>
    <t>Vestimenta de Proteção</t>
  </si>
  <si>
    <t>Totalmente abotoado</t>
  </si>
  <si>
    <t>Aberto na maior parte</t>
  </si>
  <si>
    <r>
      <rPr>
        <rFont val="Arial"/>
        <color theme="1"/>
      </rPr>
      <t>Sem jaleco (</t>
    </r>
    <r>
      <rPr>
        <rFont val="Arial"/>
        <color theme="1"/>
      </rPr>
      <t>usar do laboratório</t>
    </r>
    <r>
      <rPr>
        <rFont val="Arial"/>
        <color theme="1"/>
      </rPr>
      <t>)</t>
    </r>
  </si>
  <si>
    <t>2. Cabelos/Cabeça</t>
  </si>
  <si>
    <t>Contenção de Cabelos e Bonés</t>
  </si>
  <si>
    <t>Presos / Sem boné</t>
  </si>
  <si>
    <t xml:space="preserve">Semi-presos </t>
  </si>
  <si>
    <t>Soltos / Boné inadequado</t>
  </si>
  <si>
    <t>3. Calçados</t>
  </si>
  <si>
    <t>Uso de Calçados</t>
  </si>
  <si>
    <t>Totalmente fechados</t>
  </si>
  <si>
    <t>Sapatilha, alpargata e similar</t>
  </si>
  <si>
    <t>Abertos (sandálias/chinelos)</t>
  </si>
  <si>
    <t>4. Insp. Vidraria</t>
  </si>
  <si>
    <t>Inspeção de Integridade</t>
  </si>
  <si>
    <t>Inspecionou trincas/lascas</t>
  </si>
  <si>
    <t>Sem inspeção, cuidado padrão</t>
  </si>
  <si>
    <t>Usou vidraria danificada sem aviso</t>
  </si>
  <si>
    <t>5. Leitura Menisco</t>
  </si>
  <si>
    <t>Técnica de Leitura de Volume</t>
  </si>
  <si>
    <t>Olhos na altura correta</t>
  </si>
  <si>
    <t>Inclinado levemente</t>
  </si>
  <si>
    <t>Erro de paralaxe severo / Mov. brusco</t>
  </si>
  <si>
    <t>6. Assepsia Balança</t>
  </si>
  <si>
    <t>Conservação do Equipamento</t>
  </si>
  <si>
    <t>Limpo imediatamente</t>
  </si>
  <si>
    <t>Sujeira leve (aviso prévio)</t>
  </si>
  <si>
    <t>Líquido direto no prato / Resíduo</t>
  </si>
  <si>
    <t>7. Manip. Balança</t>
  </si>
  <si>
    <t>Uso de Espátula e Recipientes</t>
  </si>
  <si>
    <t>Usa espátula / Estável</t>
  </si>
  <si>
    <t>Dificuldade leve</t>
  </si>
  <si>
    <t>Contato com as mãos / Derramamento</t>
  </si>
  <si>
    <t>8. Org. Bancada</t>
  </si>
  <si>
    <t>Organização do Espaço</t>
  </si>
  <si>
    <t>Apenas o essencial</t>
  </si>
  <si>
    <t>Itens extras</t>
  </si>
  <si>
    <t>Bancada caótica / Risco de queda</t>
  </si>
  <si>
    <t>9. Gestão Resíduos</t>
  </si>
  <si>
    <t>Proatividade no Descarte</t>
  </si>
  <si>
    <t>Pergunta e descarta certo</t>
  </si>
  <si>
    <t>Hesita, mas corrige</t>
  </si>
  <si>
    <t>Descarte incorreto sem verificar</t>
  </si>
  <si>
    <t>Turma: [ ] Controle [X] Experimental</t>
  </si>
  <si>
    <r>
      <rPr>
        <rFont val="Arial"/>
        <color theme="1"/>
      </rPr>
      <t>Sem jaleco (</t>
    </r>
    <r>
      <rPr>
        <rFont val="Arial"/>
        <color theme="1"/>
      </rPr>
      <t>usar do laboratório</t>
    </r>
    <r>
      <rPr>
        <rFont val="Arial"/>
        <color theme="1"/>
      </rPr>
      <t>)</t>
    </r>
  </si>
  <si>
    <t>Turma: [X] Controle [ ] Experimental</t>
  </si>
  <si>
    <t>Data: 11/09/2026</t>
  </si>
  <si>
    <t>Aluno 10</t>
  </si>
  <si>
    <t>Aluno 11</t>
  </si>
  <si>
    <t>Aluno 12</t>
  </si>
  <si>
    <t>Aluno 13</t>
  </si>
  <si>
    <r>
      <rPr>
        <rFont val="Arial"/>
        <color theme="1"/>
      </rPr>
      <t>Sem jaleco (</t>
    </r>
    <r>
      <rPr>
        <rFont val="Arial"/>
        <color theme="1"/>
      </rPr>
      <t>usar do laboratório</t>
    </r>
    <r>
      <rPr>
        <rFont val="Arial"/>
        <color theme="1"/>
      </rPr>
      <t>)</t>
    </r>
  </si>
  <si>
    <t>Turma: [ x ] Controle [ ] Experimental</t>
  </si>
  <si>
    <t>Kethelen (óculos)</t>
  </si>
  <si>
    <t>Camila</t>
  </si>
  <si>
    <t>... Soares</t>
  </si>
  <si>
    <t>0*</t>
  </si>
  <si>
    <t>1*</t>
  </si>
  <si>
    <t>Camile</t>
  </si>
  <si>
    <t>Natália (óculos)</t>
  </si>
  <si>
    <t>Heloísa</t>
  </si>
  <si>
    <t>Eduarda</t>
  </si>
  <si>
    <t>Gabriela</t>
  </si>
  <si>
    <t>Alexandra</t>
  </si>
  <si>
    <t>-</t>
  </si>
  <si>
    <t>Tiago</t>
  </si>
  <si>
    <t>Gabriele</t>
  </si>
  <si>
    <r>
      <rPr>
        <rFont val="Arial"/>
        <color theme="1"/>
      </rPr>
      <t>Sem jaleco (</t>
    </r>
    <r>
      <rPr>
        <rFont val="Arial"/>
        <color theme="1"/>
      </rPr>
      <t>usar do laboratório</t>
    </r>
    <r>
      <rPr>
        <rFont val="Arial"/>
        <color theme="1"/>
      </rPr>
      <t>)</t>
    </r>
  </si>
  <si>
    <t>Total</t>
  </si>
  <si>
    <t>Avaliador B Exp - Média</t>
  </si>
  <si>
    <t>Mediana</t>
  </si>
  <si>
    <t>Mínimo</t>
  </si>
  <si>
    <t>Desvio Padrão</t>
  </si>
  <si>
    <t>CV</t>
  </si>
  <si>
    <t>Avaliador A Exp - Média</t>
  </si>
  <si>
    <t>Avaliador A Con - Média</t>
  </si>
  <si>
    <t>Avaliador C Con - Média</t>
  </si>
  <si>
    <t>Experimental - Média</t>
  </si>
  <si>
    <t>Controle - 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</si>
</sst>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&quot;Google Sans Text&quot;"/>
    </font>
    <font>
      <i/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10" xfId="0" applyAlignment="1" applyBorder="1" applyFont="1" applyNumberFormat="1">
      <alignment horizontal="center" vertical="bottom"/>
    </xf>
    <xf borderId="1" fillId="2" fontId="1" numFmtId="0" xfId="0" applyAlignment="1" applyBorder="1" applyFill="1" applyFont="1">
      <alignment horizontal="right" readingOrder="0" vertical="bottom"/>
    </xf>
    <xf borderId="1" fillId="2" fontId="1" numFmtId="0" xfId="0" applyAlignment="1" applyBorder="1" applyFill="1" applyFont="1">
      <alignment vertical="bottom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1" fillId="2" fontId="1" numFmtId="0" xfId="0" applyAlignment="1" applyBorder="1" applyFill="1" applyFont="1">
      <alignment horizontal="right" vertical="bottom"/>
    </xf>
    <xf borderId="1" fillId="2" fontId="1" numFmtId="10" xfId="0" applyAlignment="1" applyBorder="1" applyFill="1" applyFont="1" applyNumberForma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2" fillId="0" fontId="6" numFmtId="0" xfId="0" applyAlignment="1" applyBorder="1" applyFont="1">
      <alignment readingOrder="0"/>
    </xf>
    <xf borderId="2" fillId="0" fontId="6" numFmtId="0" xfId="0" applyBorder="1" applyFont="1"/>
    <xf borderId="0" fillId="0" fontId="3" numFmtId="0" xfId="0" applyFont="1"/>
    <xf borderId="2" fillId="0" fontId="7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24.5"/>
    <col customWidth="1" min="3" max="3" width="20.5"/>
    <col customWidth="1" min="4" max="4" width="24.0"/>
    <col customWidth="1" min="5" max="5" width="29.75"/>
    <col customWidth="1" min="6" max="6" width="19.5"/>
    <col customWidth="1" min="7" max="7" width="21.0"/>
    <col customWidth="1" min="8" max="8" width="19.0"/>
    <col customWidth="1" min="9" max="9" width="17.63"/>
    <col customWidth="1" min="10" max="10" width="20.5"/>
    <col customWidth="1" min="13" max="13" width="19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7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</row>
    <row r="5">
      <c r="A5" s="4" t="s">
        <v>17</v>
      </c>
      <c r="B5" s="5">
        <v>2.0</v>
      </c>
      <c r="C5" s="5">
        <v>1.0</v>
      </c>
      <c r="D5" s="5">
        <v>2.0</v>
      </c>
      <c r="E5" s="5">
        <v>0.0</v>
      </c>
      <c r="F5" s="5">
        <v>1.0</v>
      </c>
      <c r="G5" s="5">
        <v>2.0</v>
      </c>
      <c r="H5" s="5">
        <v>1.0</v>
      </c>
      <c r="I5" s="5">
        <v>2.0</v>
      </c>
      <c r="J5" s="5">
        <v>2.0</v>
      </c>
      <c r="K5" s="3">
        <f t="shared" ref="K5:K13" si="1">SUM(B5:J5)</f>
        <v>13</v>
      </c>
      <c r="L5" s="8">
        <f t="shared" ref="L5:L13" si="2">(K5/18)</f>
        <v>0.7222222222</v>
      </c>
      <c r="M5" s="3"/>
    </row>
    <row r="6">
      <c r="A6" s="4" t="s">
        <v>18</v>
      </c>
      <c r="B6" s="5">
        <v>2.0</v>
      </c>
      <c r="C6" s="5">
        <v>2.0</v>
      </c>
      <c r="D6" s="5">
        <v>2.0</v>
      </c>
      <c r="E6" s="5">
        <v>0.0</v>
      </c>
      <c r="F6" s="5">
        <v>1.0</v>
      </c>
      <c r="G6" s="5">
        <v>2.0</v>
      </c>
      <c r="H6" s="5">
        <v>1.0</v>
      </c>
      <c r="I6" s="5">
        <v>2.0</v>
      </c>
      <c r="J6" s="5">
        <v>2.0</v>
      </c>
      <c r="K6" s="3">
        <f t="shared" si="1"/>
        <v>14</v>
      </c>
      <c r="L6" s="8">
        <f t="shared" si="2"/>
        <v>0.7777777778</v>
      </c>
      <c r="M6" s="3"/>
    </row>
    <row r="7">
      <c r="A7" s="4" t="s">
        <v>19</v>
      </c>
      <c r="B7" s="5">
        <v>2.0</v>
      </c>
      <c r="C7" s="5">
        <v>2.0</v>
      </c>
      <c r="D7" s="5">
        <v>2.0</v>
      </c>
      <c r="E7" s="5">
        <v>0.0</v>
      </c>
      <c r="F7" s="5">
        <v>2.0</v>
      </c>
      <c r="G7" s="5">
        <v>2.0</v>
      </c>
      <c r="H7" s="5">
        <v>1.0</v>
      </c>
      <c r="I7" s="5">
        <v>2.0</v>
      </c>
      <c r="J7" s="5">
        <v>2.0</v>
      </c>
      <c r="K7" s="3">
        <f t="shared" si="1"/>
        <v>15</v>
      </c>
      <c r="L7" s="8">
        <f t="shared" si="2"/>
        <v>0.8333333333</v>
      </c>
      <c r="M7" s="3"/>
    </row>
    <row r="8">
      <c r="A8" s="4" t="s">
        <v>20</v>
      </c>
      <c r="B8" s="5">
        <v>2.0</v>
      </c>
      <c r="C8" s="5">
        <v>2.0</v>
      </c>
      <c r="D8" s="5">
        <v>2.0</v>
      </c>
      <c r="E8" s="5">
        <v>0.0</v>
      </c>
      <c r="F8" s="5">
        <v>2.0</v>
      </c>
      <c r="G8" s="5">
        <v>0.0</v>
      </c>
      <c r="H8" s="5">
        <v>0.0</v>
      </c>
      <c r="I8" s="5">
        <v>2.0</v>
      </c>
      <c r="J8" s="5">
        <v>2.0</v>
      </c>
      <c r="K8" s="3">
        <f t="shared" si="1"/>
        <v>12</v>
      </c>
      <c r="L8" s="8">
        <f t="shared" si="2"/>
        <v>0.6666666667</v>
      </c>
      <c r="M8" s="3"/>
    </row>
    <row r="9">
      <c r="A9" s="4" t="s">
        <v>21</v>
      </c>
      <c r="B9" s="5">
        <v>2.0</v>
      </c>
      <c r="C9" s="5">
        <v>1.0</v>
      </c>
      <c r="D9" s="5">
        <v>2.0</v>
      </c>
      <c r="E9" s="5">
        <v>0.0</v>
      </c>
      <c r="F9" s="5">
        <v>2.0</v>
      </c>
      <c r="G9" s="5">
        <v>0.0</v>
      </c>
      <c r="H9" s="5">
        <v>0.0</v>
      </c>
      <c r="I9" s="5">
        <v>2.0</v>
      </c>
      <c r="J9" s="5">
        <v>2.0</v>
      </c>
      <c r="K9" s="3">
        <f t="shared" si="1"/>
        <v>11</v>
      </c>
      <c r="L9" s="8">
        <f t="shared" si="2"/>
        <v>0.6111111111</v>
      </c>
      <c r="M9" s="3"/>
    </row>
    <row r="10">
      <c r="A10" s="4" t="s">
        <v>22</v>
      </c>
      <c r="B10" s="5">
        <v>2.0</v>
      </c>
      <c r="C10" s="5">
        <v>2.0</v>
      </c>
      <c r="D10" s="5">
        <v>2.0</v>
      </c>
      <c r="E10" s="5">
        <v>0.0</v>
      </c>
      <c r="F10" s="5">
        <v>2.0</v>
      </c>
      <c r="G10" s="5">
        <v>2.0</v>
      </c>
      <c r="H10" s="5">
        <v>2.0</v>
      </c>
      <c r="I10" s="5">
        <v>2.0</v>
      </c>
      <c r="J10" s="5">
        <v>2.0</v>
      </c>
      <c r="K10" s="3">
        <f t="shared" si="1"/>
        <v>16</v>
      </c>
      <c r="L10" s="8">
        <f t="shared" si="2"/>
        <v>0.8888888889</v>
      </c>
      <c r="M10" s="3"/>
    </row>
    <row r="11">
      <c r="A11" s="4" t="s">
        <v>23</v>
      </c>
      <c r="B11" s="5">
        <v>2.0</v>
      </c>
      <c r="C11" s="5">
        <v>2.0</v>
      </c>
      <c r="D11" s="5">
        <v>2.0</v>
      </c>
      <c r="E11" s="5">
        <v>0.0</v>
      </c>
      <c r="F11" s="5">
        <v>2.0</v>
      </c>
      <c r="G11" s="5">
        <v>1.0</v>
      </c>
      <c r="H11" s="5">
        <v>1.0</v>
      </c>
      <c r="I11" s="5">
        <v>2.0</v>
      </c>
      <c r="J11" s="5">
        <v>2.0</v>
      </c>
      <c r="K11" s="3">
        <f t="shared" si="1"/>
        <v>14</v>
      </c>
      <c r="L11" s="8">
        <f t="shared" si="2"/>
        <v>0.7777777778</v>
      </c>
      <c r="M11" s="3"/>
    </row>
    <row r="12">
      <c r="A12" s="4" t="s">
        <v>24</v>
      </c>
      <c r="B12" s="5">
        <v>2.0</v>
      </c>
      <c r="C12" s="5">
        <v>2.0</v>
      </c>
      <c r="D12" s="5">
        <v>2.0</v>
      </c>
      <c r="E12" s="5">
        <v>0.0</v>
      </c>
      <c r="F12" s="5">
        <v>2.0</v>
      </c>
      <c r="G12" s="5">
        <v>1.0</v>
      </c>
      <c r="H12" s="5">
        <v>1.0</v>
      </c>
      <c r="I12" s="5">
        <v>2.0</v>
      </c>
      <c r="J12" s="5">
        <v>2.0</v>
      </c>
      <c r="K12" s="3">
        <f t="shared" si="1"/>
        <v>14</v>
      </c>
      <c r="L12" s="8">
        <f t="shared" si="2"/>
        <v>0.7777777778</v>
      </c>
      <c r="M12" s="3"/>
    </row>
    <row r="13">
      <c r="A13" s="4" t="s">
        <v>25</v>
      </c>
      <c r="B13" s="5">
        <v>2.0</v>
      </c>
      <c r="C13" s="5">
        <v>2.0</v>
      </c>
      <c r="D13" s="5">
        <v>2.0</v>
      </c>
      <c r="E13" s="5">
        <v>0.0</v>
      </c>
      <c r="F13" s="5">
        <v>2.0</v>
      </c>
      <c r="G13" s="5">
        <v>2.0</v>
      </c>
      <c r="H13" s="5">
        <v>2.0</v>
      </c>
      <c r="I13" s="5">
        <v>2.0</v>
      </c>
      <c r="J13" s="5">
        <v>2.0</v>
      </c>
      <c r="K13" s="3">
        <f t="shared" si="1"/>
        <v>16</v>
      </c>
      <c r="L13" s="8">
        <f t="shared" si="2"/>
        <v>0.8888888889</v>
      </c>
      <c r="M13" s="3"/>
    </row>
    <row r="14">
      <c r="A14" s="9" t="s">
        <v>26</v>
      </c>
      <c r="B14" s="10">
        <f t="shared" ref="B14:L14" si="3">AVERAGE(B1:B13)</f>
        <v>2</v>
      </c>
      <c r="C14" s="10">
        <f t="shared" si="3"/>
        <v>1.777777778</v>
      </c>
      <c r="D14" s="10">
        <f t="shared" si="3"/>
        <v>2</v>
      </c>
      <c r="E14" s="10">
        <f t="shared" si="3"/>
        <v>0</v>
      </c>
      <c r="F14" s="10">
        <f t="shared" si="3"/>
        <v>1.777777778</v>
      </c>
      <c r="G14" s="10">
        <f t="shared" si="3"/>
        <v>1.333333333</v>
      </c>
      <c r="H14" s="10">
        <f t="shared" si="3"/>
        <v>1</v>
      </c>
      <c r="I14" s="10">
        <f t="shared" si="3"/>
        <v>2</v>
      </c>
      <c r="J14" s="10">
        <f t="shared" si="3"/>
        <v>2</v>
      </c>
      <c r="K14" s="10">
        <f t="shared" si="3"/>
        <v>13.88888889</v>
      </c>
      <c r="L14" s="10">
        <f t="shared" si="3"/>
        <v>0.7716049383</v>
      </c>
      <c r="M14" s="6"/>
    </row>
    <row r="1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8"/>
      <c r="M15" s="3"/>
    </row>
    <row r="16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1" t="s">
        <v>27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7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3"/>
      <c r="G18" s="3"/>
      <c r="H18" s="3"/>
      <c r="I18" s="3"/>
      <c r="J18" s="3"/>
      <c r="K18" s="3"/>
      <c r="L18" s="3"/>
      <c r="M18" s="3"/>
    </row>
    <row r="19">
      <c r="A19" s="6" t="s">
        <v>33</v>
      </c>
      <c r="B19" s="3" t="s">
        <v>34</v>
      </c>
      <c r="C19" s="3" t="s">
        <v>35</v>
      </c>
      <c r="D19" s="3" t="s">
        <v>36</v>
      </c>
      <c r="E19" s="3" t="s">
        <v>37</v>
      </c>
      <c r="F19" s="3"/>
      <c r="G19" s="3"/>
      <c r="H19" s="3"/>
      <c r="I19" s="3"/>
      <c r="J19" s="3"/>
      <c r="K19" s="3"/>
      <c r="L19" s="3"/>
      <c r="M19" s="3"/>
    </row>
    <row r="20">
      <c r="A20" s="6" t="s">
        <v>38</v>
      </c>
      <c r="B20" s="3" t="s">
        <v>39</v>
      </c>
      <c r="C20" s="3" t="s">
        <v>40</v>
      </c>
      <c r="D20" s="3" t="s">
        <v>41</v>
      </c>
      <c r="E20" s="3" t="s">
        <v>42</v>
      </c>
      <c r="F20" s="3"/>
      <c r="G20" s="3"/>
      <c r="H20" s="3"/>
      <c r="I20" s="3"/>
      <c r="J20" s="3"/>
      <c r="K20" s="3"/>
      <c r="L20" s="3"/>
      <c r="M20" s="3"/>
    </row>
    <row r="21">
      <c r="A21" s="6" t="s">
        <v>43</v>
      </c>
      <c r="B21" s="3" t="s">
        <v>44</v>
      </c>
      <c r="C21" s="3" t="s">
        <v>45</v>
      </c>
      <c r="D21" s="3" t="s">
        <v>46</v>
      </c>
      <c r="E21" s="3" t="s">
        <v>47</v>
      </c>
      <c r="F21" s="3"/>
      <c r="G21" s="3"/>
      <c r="H21" s="3"/>
      <c r="I21" s="3"/>
      <c r="J21" s="3"/>
      <c r="K21" s="3"/>
      <c r="L21" s="3"/>
      <c r="M21" s="3"/>
    </row>
    <row r="22">
      <c r="A22" s="6" t="s">
        <v>48</v>
      </c>
      <c r="B22" s="3" t="s">
        <v>49</v>
      </c>
      <c r="C22" s="3" t="s">
        <v>50</v>
      </c>
      <c r="D22" s="3" t="s">
        <v>51</v>
      </c>
      <c r="E22" s="3" t="s">
        <v>52</v>
      </c>
      <c r="F22" s="3"/>
      <c r="G22" s="3"/>
      <c r="H22" s="3"/>
      <c r="I22" s="3"/>
      <c r="J22" s="3"/>
      <c r="K22" s="3"/>
      <c r="L22" s="3"/>
      <c r="M22" s="3"/>
    </row>
    <row r="23">
      <c r="A23" s="6" t="s">
        <v>53</v>
      </c>
      <c r="B23" s="3" t="s">
        <v>54</v>
      </c>
      <c r="C23" s="3" t="s">
        <v>55</v>
      </c>
      <c r="D23" s="3" t="s">
        <v>56</v>
      </c>
      <c r="E23" s="3" t="s">
        <v>57</v>
      </c>
      <c r="F23" s="3"/>
      <c r="G23" s="3"/>
      <c r="H23" s="3"/>
      <c r="I23" s="3"/>
      <c r="J23" s="3"/>
      <c r="K23" s="3"/>
      <c r="L23" s="3"/>
      <c r="M23" s="3"/>
    </row>
    <row r="24">
      <c r="A24" s="6" t="s">
        <v>58</v>
      </c>
      <c r="B24" s="3" t="s">
        <v>59</v>
      </c>
      <c r="C24" s="3" t="s">
        <v>60</v>
      </c>
      <c r="D24" s="3" t="s">
        <v>61</v>
      </c>
      <c r="E24" s="3" t="s">
        <v>62</v>
      </c>
      <c r="F24" s="3"/>
      <c r="G24" s="3"/>
      <c r="H24" s="3"/>
      <c r="I24" s="3"/>
      <c r="J24" s="3"/>
      <c r="K24" s="3"/>
      <c r="L24" s="3"/>
      <c r="M24" s="3"/>
    </row>
    <row r="25">
      <c r="A25" s="6" t="s">
        <v>63</v>
      </c>
      <c r="B25" s="3" t="s">
        <v>64</v>
      </c>
      <c r="C25" s="3" t="s">
        <v>65</v>
      </c>
      <c r="D25" s="3" t="s">
        <v>66</v>
      </c>
      <c r="E25" s="3" t="s">
        <v>67</v>
      </c>
      <c r="F25" s="3"/>
      <c r="G25" s="3"/>
      <c r="H25" s="3"/>
      <c r="I25" s="3"/>
      <c r="J25" s="3"/>
      <c r="K25" s="3"/>
      <c r="L25" s="3"/>
      <c r="M25" s="3"/>
    </row>
    <row r="26">
      <c r="A26" s="6" t="s">
        <v>68</v>
      </c>
      <c r="B26" s="3" t="s">
        <v>69</v>
      </c>
      <c r="C26" s="3" t="s">
        <v>70</v>
      </c>
      <c r="D26" s="3" t="s">
        <v>71</v>
      </c>
      <c r="E26" s="3" t="s">
        <v>72</v>
      </c>
      <c r="F26" s="3"/>
      <c r="G26" s="3"/>
      <c r="H26" s="3"/>
      <c r="I26" s="3"/>
      <c r="J26" s="3"/>
      <c r="K26" s="3"/>
      <c r="L26" s="3"/>
      <c r="M26" s="3"/>
    </row>
    <row r="27">
      <c r="A27" s="6" t="s">
        <v>73</v>
      </c>
      <c r="B27" s="3" t="s">
        <v>74</v>
      </c>
      <c r="C27" s="3" t="s">
        <v>75</v>
      </c>
      <c r="D27" s="3" t="s">
        <v>76</v>
      </c>
      <c r="E27" s="3" t="s">
        <v>77</v>
      </c>
      <c r="F27" s="3"/>
      <c r="G27" s="3"/>
      <c r="H27" s="3"/>
      <c r="I27" s="3"/>
      <c r="J27" s="3"/>
      <c r="K27" s="3"/>
      <c r="L27" s="3"/>
      <c r="M27" s="3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24.5"/>
    <col customWidth="1" min="3" max="3" width="20.5"/>
    <col customWidth="1" min="4" max="4" width="24.0"/>
    <col customWidth="1" min="5" max="5" width="29.75"/>
    <col customWidth="1" min="6" max="6" width="19.5"/>
    <col customWidth="1" min="7" max="7" width="21.0"/>
    <col customWidth="1" min="8" max="8" width="19.0"/>
    <col customWidth="1" min="9" max="9" width="17.63"/>
    <col customWidth="1" min="10" max="10" width="20.5"/>
    <col customWidth="1" min="13" max="13" width="19.25"/>
  </cols>
  <sheetData>
    <row r="1">
      <c r="A1" s="1" t="s">
        <v>0</v>
      </c>
      <c r="B1" s="7" t="s">
        <v>1</v>
      </c>
      <c r="C1" s="12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4" t="s">
        <v>78</v>
      </c>
      <c r="B2" s="4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</row>
    <row r="5">
      <c r="A5" s="4" t="s">
        <v>17</v>
      </c>
      <c r="B5" s="4">
        <v>2.0</v>
      </c>
      <c r="C5" s="4">
        <v>1.0</v>
      </c>
      <c r="D5" s="4">
        <v>2.0</v>
      </c>
      <c r="E5" s="4">
        <v>0.0</v>
      </c>
      <c r="F5" s="4">
        <v>2.0</v>
      </c>
      <c r="G5" s="4">
        <v>0.0</v>
      </c>
      <c r="H5" s="4">
        <v>0.0</v>
      </c>
      <c r="I5" s="4">
        <v>2.0</v>
      </c>
      <c r="J5" s="4">
        <v>2.0</v>
      </c>
      <c r="K5" s="13">
        <f t="shared" ref="K5:K13" si="1">SUM(B5:J5)</f>
        <v>11</v>
      </c>
      <c r="L5" s="14">
        <f t="shared" ref="L5:L13" si="2">K5/18</f>
        <v>0.6111111111</v>
      </c>
      <c r="M5" s="6"/>
    </row>
    <row r="6">
      <c r="A6" s="4" t="s">
        <v>18</v>
      </c>
      <c r="B6" s="4">
        <v>2.0</v>
      </c>
      <c r="C6" s="4">
        <v>2.0</v>
      </c>
      <c r="D6" s="4">
        <v>2.0</v>
      </c>
      <c r="E6" s="4">
        <v>0.0</v>
      </c>
      <c r="F6" s="4">
        <v>2.0</v>
      </c>
      <c r="G6" s="4">
        <v>0.0</v>
      </c>
      <c r="H6" s="4">
        <v>0.0</v>
      </c>
      <c r="I6" s="4">
        <v>2.0</v>
      </c>
      <c r="J6" s="4">
        <v>2.0</v>
      </c>
      <c r="K6" s="13">
        <f t="shared" si="1"/>
        <v>12</v>
      </c>
      <c r="L6" s="14">
        <f t="shared" si="2"/>
        <v>0.6666666667</v>
      </c>
      <c r="M6" s="6"/>
    </row>
    <row r="7">
      <c r="A7" s="4" t="s">
        <v>19</v>
      </c>
      <c r="B7" s="4">
        <v>2.0</v>
      </c>
      <c r="C7" s="4">
        <v>2.0</v>
      </c>
      <c r="D7" s="4">
        <v>2.0</v>
      </c>
      <c r="E7" s="4">
        <v>0.0</v>
      </c>
      <c r="F7" s="4">
        <v>2.0</v>
      </c>
      <c r="G7" s="4">
        <v>2.0</v>
      </c>
      <c r="H7" s="4">
        <v>1.0</v>
      </c>
      <c r="I7" s="4">
        <v>2.0</v>
      </c>
      <c r="J7" s="4">
        <v>2.0</v>
      </c>
      <c r="K7" s="13">
        <f t="shared" si="1"/>
        <v>15</v>
      </c>
      <c r="L7" s="14">
        <f t="shared" si="2"/>
        <v>0.8333333333</v>
      </c>
      <c r="M7" s="6"/>
    </row>
    <row r="8">
      <c r="A8" s="4" t="s">
        <v>20</v>
      </c>
      <c r="B8" s="4">
        <v>2.0</v>
      </c>
      <c r="C8" s="4">
        <v>2.0</v>
      </c>
      <c r="D8" s="4">
        <v>2.0</v>
      </c>
      <c r="E8" s="4">
        <v>0.0</v>
      </c>
      <c r="F8" s="4">
        <v>2.0</v>
      </c>
      <c r="G8" s="4">
        <v>2.0</v>
      </c>
      <c r="H8" s="4">
        <v>1.0</v>
      </c>
      <c r="I8" s="4">
        <v>2.0</v>
      </c>
      <c r="J8" s="4">
        <v>2.0</v>
      </c>
      <c r="K8" s="13">
        <f t="shared" si="1"/>
        <v>15</v>
      </c>
      <c r="L8" s="14">
        <f t="shared" si="2"/>
        <v>0.8333333333</v>
      </c>
      <c r="M8" s="6"/>
    </row>
    <row r="9">
      <c r="A9" s="4" t="s">
        <v>21</v>
      </c>
      <c r="B9" s="4">
        <v>2.0</v>
      </c>
      <c r="C9" s="4">
        <v>2.0</v>
      </c>
      <c r="D9" s="4">
        <v>2.0</v>
      </c>
      <c r="E9" s="4">
        <v>0.0</v>
      </c>
      <c r="F9" s="4">
        <v>2.0</v>
      </c>
      <c r="G9" s="4">
        <v>2.0</v>
      </c>
      <c r="H9" s="4">
        <v>1.0</v>
      </c>
      <c r="I9" s="4">
        <v>2.0</v>
      </c>
      <c r="J9" s="4">
        <v>2.0</v>
      </c>
      <c r="K9" s="13">
        <f t="shared" si="1"/>
        <v>15</v>
      </c>
      <c r="L9" s="14">
        <f t="shared" si="2"/>
        <v>0.8333333333</v>
      </c>
      <c r="M9" s="6"/>
    </row>
    <row r="10">
      <c r="A10" s="4" t="s">
        <v>22</v>
      </c>
      <c r="B10" s="4">
        <v>2.0</v>
      </c>
      <c r="C10" s="4">
        <v>2.0</v>
      </c>
      <c r="D10" s="4">
        <v>2.0</v>
      </c>
      <c r="E10" s="4">
        <v>0.0</v>
      </c>
      <c r="F10" s="4">
        <v>1.0</v>
      </c>
      <c r="G10" s="4">
        <v>2.0</v>
      </c>
      <c r="H10" s="4">
        <v>1.0</v>
      </c>
      <c r="I10" s="4">
        <v>2.0</v>
      </c>
      <c r="J10" s="4">
        <v>2.0</v>
      </c>
      <c r="K10" s="13">
        <f t="shared" si="1"/>
        <v>14</v>
      </c>
      <c r="L10" s="14">
        <f t="shared" si="2"/>
        <v>0.7777777778</v>
      </c>
      <c r="M10" s="6"/>
    </row>
    <row r="11">
      <c r="A11" s="4" t="s">
        <v>23</v>
      </c>
      <c r="B11" s="4">
        <v>2.0</v>
      </c>
      <c r="C11" s="4">
        <v>1.0</v>
      </c>
      <c r="D11" s="4">
        <v>2.0</v>
      </c>
      <c r="E11" s="4">
        <v>0.0</v>
      </c>
      <c r="F11" s="4">
        <v>1.0</v>
      </c>
      <c r="G11" s="4">
        <v>2.0</v>
      </c>
      <c r="H11" s="4">
        <v>1.0</v>
      </c>
      <c r="I11" s="4">
        <v>2.0</v>
      </c>
      <c r="J11" s="4">
        <v>2.0</v>
      </c>
      <c r="K11" s="13">
        <f t="shared" si="1"/>
        <v>13</v>
      </c>
      <c r="L11" s="14">
        <f t="shared" si="2"/>
        <v>0.7222222222</v>
      </c>
      <c r="M11" s="6"/>
    </row>
    <row r="12">
      <c r="A12" s="4" t="s">
        <v>24</v>
      </c>
      <c r="B12" s="4">
        <v>2.0</v>
      </c>
      <c r="C12" s="4">
        <v>2.0</v>
      </c>
      <c r="D12" s="4">
        <v>2.0</v>
      </c>
      <c r="E12" s="4">
        <v>0.0</v>
      </c>
      <c r="F12" s="4">
        <v>2.0</v>
      </c>
      <c r="G12" s="4">
        <v>2.0</v>
      </c>
      <c r="H12" s="4">
        <v>1.0</v>
      </c>
      <c r="I12" s="4">
        <v>2.0</v>
      </c>
      <c r="J12" s="4">
        <v>2.0</v>
      </c>
      <c r="K12" s="13">
        <f t="shared" si="1"/>
        <v>15</v>
      </c>
      <c r="L12" s="14">
        <f t="shared" si="2"/>
        <v>0.8333333333</v>
      </c>
      <c r="M12" s="6"/>
    </row>
    <row r="13">
      <c r="A13" s="4" t="s">
        <v>25</v>
      </c>
      <c r="B13" s="4">
        <v>2.0</v>
      </c>
      <c r="C13" s="4">
        <v>2.0</v>
      </c>
      <c r="D13" s="4">
        <v>2.0</v>
      </c>
      <c r="E13" s="4">
        <v>0.0</v>
      </c>
      <c r="F13" s="4">
        <v>2.0</v>
      </c>
      <c r="G13" s="4">
        <v>2.0</v>
      </c>
      <c r="H13" s="4">
        <v>1.0</v>
      </c>
      <c r="I13" s="4">
        <v>2.0</v>
      </c>
      <c r="J13" s="4">
        <v>2.0</v>
      </c>
      <c r="K13" s="13">
        <f t="shared" si="1"/>
        <v>15</v>
      </c>
      <c r="L13" s="14">
        <f t="shared" si="2"/>
        <v>0.8333333333</v>
      </c>
      <c r="M13" s="6"/>
    </row>
    <row r="14">
      <c r="A14" s="15" t="s">
        <v>26</v>
      </c>
      <c r="B14" s="10">
        <f t="shared" ref="B14:L14" si="3">AVERAGE(B5:B13)</f>
        <v>2</v>
      </c>
      <c r="C14" s="10">
        <f t="shared" si="3"/>
        <v>1.777777778</v>
      </c>
      <c r="D14" s="10">
        <f t="shared" si="3"/>
        <v>2</v>
      </c>
      <c r="E14" s="10">
        <f t="shared" si="3"/>
        <v>0</v>
      </c>
      <c r="F14" s="10">
        <f t="shared" si="3"/>
        <v>1.777777778</v>
      </c>
      <c r="G14" s="10">
        <f t="shared" si="3"/>
        <v>1.555555556</v>
      </c>
      <c r="H14" s="10">
        <f t="shared" si="3"/>
        <v>0.7777777778</v>
      </c>
      <c r="I14" s="10">
        <f t="shared" si="3"/>
        <v>2</v>
      </c>
      <c r="J14" s="10">
        <f t="shared" si="3"/>
        <v>2</v>
      </c>
      <c r="K14" s="10">
        <f t="shared" si="3"/>
        <v>13.88888889</v>
      </c>
      <c r="L14" s="16">
        <f t="shared" si="3"/>
        <v>0.7716049383</v>
      </c>
      <c r="M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7"/>
      <c r="M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>
      <c r="A17" s="1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7" t="s">
        <v>28</v>
      </c>
      <c r="B18" s="7" t="s">
        <v>29</v>
      </c>
      <c r="C18" s="7" t="s">
        <v>30</v>
      </c>
      <c r="D18" s="7" t="s">
        <v>31</v>
      </c>
      <c r="E18" s="7" t="s">
        <v>32</v>
      </c>
      <c r="F18" s="6"/>
      <c r="G18" s="6"/>
      <c r="H18" s="6"/>
      <c r="I18" s="6"/>
      <c r="J18" s="6"/>
      <c r="K18" s="6"/>
      <c r="L18" s="6"/>
      <c r="M18" s="6"/>
    </row>
    <row r="19">
      <c r="A19" s="6" t="s">
        <v>33</v>
      </c>
      <c r="B19" s="6" t="s">
        <v>34</v>
      </c>
      <c r="C19" s="6" t="s">
        <v>35</v>
      </c>
      <c r="D19" s="6" t="s">
        <v>36</v>
      </c>
      <c r="E19" s="6" t="s">
        <v>79</v>
      </c>
      <c r="F19" s="6"/>
      <c r="G19" s="6"/>
      <c r="H19" s="6"/>
      <c r="I19" s="6"/>
      <c r="J19" s="6"/>
      <c r="K19" s="6"/>
      <c r="L19" s="6"/>
      <c r="M19" s="6"/>
    </row>
    <row r="20">
      <c r="A20" s="6" t="s">
        <v>38</v>
      </c>
      <c r="B20" s="6" t="s">
        <v>39</v>
      </c>
      <c r="C20" s="6" t="s">
        <v>40</v>
      </c>
      <c r="D20" s="6" t="s">
        <v>41</v>
      </c>
      <c r="E20" s="6" t="s">
        <v>42</v>
      </c>
      <c r="F20" s="6"/>
      <c r="G20" s="6"/>
      <c r="H20" s="6"/>
      <c r="I20" s="6"/>
      <c r="J20" s="6"/>
      <c r="K20" s="6"/>
      <c r="L20" s="6"/>
      <c r="M20" s="6"/>
    </row>
    <row r="21">
      <c r="A21" s="6" t="s">
        <v>43</v>
      </c>
      <c r="B21" s="6" t="s">
        <v>44</v>
      </c>
      <c r="C21" s="6" t="s">
        <v>45</v>
      </c>
      <c r="D21" s="6" t="s">
        <v>46</v>
      </c>
      <c r="E21" s="6" t="s">
        <v>47</v>
      </c>
      <c r="F21" s="6"/>
      <c r="G21" s="6"/>
      <c r="H21" s="6"/>
      <c r="I21" s="6"/>
      <c r="J21" s="6"/>
      <c r="K21" s="6"/>
      <c r="L21" s="6"/>
      <c r="M21" s="6"/>
    </row>
    <row r="22">
      <c r="A22" s="6" t="s">
        <v>48</v>
      </c>
      <c r="B22" s="6" t="s">
        <v>49</v>
      </c>
      <c r="C22" s="6" t="s">
        <v>50</v>
      </c>
      <c r="D22" s="6" t="s">
        <v>51</v>
      </c>
      <c r="E22" s="6" t="s">
        <v>52</v>
      </c>
      <c r="F22" s="6"/>
      <c r="G22" s="6"/>
      <c r="H22" s="6"/>
      <c r="I22" s="6"/>
      <c r="J22" s="6"/>
      <c r="K22" s="6"/>
      <c r="L22" s="6"/>
      <c r="M22" s="6"/>
    </row>
    <row r="23">
      <c r="A23" s="6" t="s">
        <v>53</v>
      </c>
      <c r="B23" s="6" t="s">
        <v>54</v>
      </c>
      <c r="C23" s="6" t="s">
        <v>55</v>
      </c>
      <c r="D23" s="6" t="s">
        <v>56</v>
      </c>
      <c r="E23" s="6" t="s">
        <v>57</v>
      </c>
      <c r="F23" s="6"/>
      <c r="G23" s="6"/>
      <c r="H23" s="6"/>
      <c r="I23" s="6"/>
      <c r="J23" s="6"/>
      <c r="K23" s="6"/>
      <c r="L23" s="6"/>
      <c r="M23" s="6"/>
    </row>
    <row r="24">
      <c r="A24" s="6" t="s">
        <v>58</v>
      </c>
      <c r="B24" s="6" t="s">
        <v>59</v>
      </c>
      <c r="C24" s="6" t="s">
        <v>60</v>
      </c>
      <c r="D24" s="6" t="s">
        <v>61</v>
      </c>
      <c r="E24" s="6" t="s">
        <v>62</v>
      </c>
      <c r="F24" s="6"/>
      <c r="G24" s="6"/>
      <c r="H24" s="6"/>
      <c r="I24" s="6"/>
      <c r="J24" s="6"/>
      <c r="K24" s="6"/>
      <c r="L24" s="6"/>
      <c r="M24" s="6"/>
    </row>
    <row r="25">
      <c r="A25" s="6" t="s">
        <v>63</v>
      </c>
      <c r="B25" s="6" t="s">
        <v>64</v>
      </c>
      <c r="C25" s="6" t="s">
        <v>65</v>
      </c>
      <c r="D25" s="6" t="s">
        <v>66</v>
      </c>
      <c r="E25" s="6" t="s">
        <v>67</v>
      </c>
      <c r="F25" s="6"/>
      <c r="G25" s="6"/>
      <c r="H25" s="6"/>
      <c r="I25" s="6"/>
      <c r="J25" s="6"/>
      <c r="K25" s="6"/>
      <c r="L25" s="6"/>
      <c r="M25" s="6"/>
    </row>
    <row r="26">
      <c r="A26" s="6" t="s">
        <v>68</v>
      </c>
      <c r="B26" s="6" t="s">
        <v>69</v>
      </c>
      <c r="C26" s="6" t="s">
        <v>70</v>
      </c>
      <c r="D26" s="6" t="s">
        <v>71</v>
      </c>
      <c r="E26" s="6" t="s">
        <v>72</v>
      </c>
      <c r="F26" s="6"/>
      <c r="G26" s="6"/>
      <c r="H26" s="6"/>
      <c r="I26" s="6"/>
      <c r="J26" s="6"/>
      <c r="K26" s="6"/>
      <c r="L26" s="6"/>
      <c r="M26" s="6"/>
    </row>
    <row r="27">
      <c r="A27" s="6" t="s">
        <v>73</v>
      </c>
      <c r="B27" s="6" t="s">
        <v>74</v>
      </c>
      <c r="C27" s="6" t="s">
        <v>75</v>
      </c>
      <c r="D27" s="6" t="s">
        <v>76</v>
      </c>
      <c r="E27" s="6" t="s">
        <v>77</v>
      </c>
      <c r="F27" s="6"/>
      <c r="G27" s="6"/>
      <c r="H27" s="6"/>
      <c r="I27" s="6"/>
      <c r="J27" s="6"/>
      <c r="K27" s="6"/>
      <c r="L27" s="6"/>
      <c r="M27" s="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24.5"/>
    <col customWidth="1" min="3" max="3" width="20.5"/>
    <col customWidth="1" min="4" max="4" width="24.0"/>
    <col customWidth="1" min="5" max="5" width="29.75"/>
    <col customWidth="1" min="6" max="6" width="19.5"/>
    <col customWidth="1" min="7" max="7" width="21.0"/>
    <col customWidth="1" min="8" max="8" width="19.0"/>
    <col customWidth="1" min="9" max="9" width="17.63"/>
    <col customWidth="1" min="10" max="10" width="20.5"/>
    <col customWidth="1" min="13" max="13" width="19.25"/>
  </cols>
  <sheetData>
    <row r="1">
      <c r="A1" s="1" t="s">
        <v>0</v>
      </c>
      <c r="B1" s="7" t="s">
        <v>1</v>
      </c>
      <c r="C1" s="12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4" t="s">
        <v>80</v>
      </c>
      <c r="B2" s="4" t="s">
        <v>81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</row>
    <row r="5">
      <c r="A5" s="4" t="s">
        <v>17</v>
      </c>
      <c r="B5" s="4">
        <v>2.0</v>
      </c>
      <c r="C5" s="4">
        <v>1.0</v>
      </c>
      <c r="D5" s="4">
        <v>2.0</v>
      </c>
      <c r="E5" s="4">
        <v>0.0</v>
      </c>
      <c r="F5" s="4">
        <v>1.33</v>
      </c>
      <c r="G5" s="4">
        <v>0.0</v>
      </c>
      <c r="H5" s="4">
        <v>0.0</v>
      </c>
      <c r="I5" s="4">
        <v>2.0</v>
      </c>
      <c r="J5" s="4">
        <v>2.0</v>
      </c>
      <c r="K5" s="13">
        <f t="shared" ref="K5:K17" si="1">SUM(B5:J5)</f>
        <v>10.33</v>
      </c>
      <c r="L5" s="14">
        <f t="shared" ref="L5:L17" si="2">(K5/18)</f>
        <v>0.5738888889</v>
      </c>
      <c r="M5" s="6"/>
    </row>
    <row r="6">
      <c r="A6" s="4" t="s">
        <v>18</v>
      </c>
      <c r="B6" s="4">
        <v>2.0</v>
      </c>
      <c r="C6" s="4">
        <v>2.0</v>
      </c>
      <c r="D6" s="4">
        <v>2.0</v>
      </c>
      <c r="E6" s="4">
        <v>0.0</v>
      </c>
      <c r="F6" s="4">
        <v>1.0</v>
      </c>
      <c r="G6" s="4">
        <v>0.0</v>
      </c>
      <c r="H6" s="4">
        <v>0.0</v>
      </c>
      <c r="I6" s="4">
        <v>2.0</v>
      </c>
      <c r="J6" s="4">
        <v>2.0</v>
      </c>
      <c r="K6" s="13">
        <f t="shared" si="1"/>
        <v>11</v>
      </c>
      <c r="L6" s="14">
        <f t="shared" si="2"/>
        <v>0.6111111111</v>
      </c>
      <c r="M6" s="6"/>
    </row>
    <row r="7">
      <c r="A7" s="4" t="s">
        <v>19</v>
      </c>
      <c r="B7" s="4">
        <v>1.0</v>
      </c>
      <c r="C7" s="4">
        <v>1.0</v>
      </c>
      <c r="D7" s="4">
        <v>2.0</v>
      </c>
      <c r="E7" s="4">
        <v>0.0</v>
      </c>
      <c r="F7" s="4">
        <v>0.66</v>
      </c>
      <c r="G7" s="4">
        <v>0.0</v>
      </c>
      <c r="H7" s="4">
        <v>0.0</v>
      </c>
      <c r="I7" s="4">
        <v>2.0</v>
      </c>
      <c r="J7" s="4">
        <v>2.0</v>
      </c>
      <c r="K7" s="13">
        <f t="shared" si="1"/>
        <v>8.66</v>
      </c>
      <c r="L7" s="14">
        <f t="shared" si="2"/>
        <v>0.4811111111</v>
      </c>
      <c r="M7" s="6"/>
    </row>
    <row r="8">
      <c r="A8" s="4" t="s">
        <v>20</v>
      </c>
      <c r="B8" s="4">
        <v>2.0</v>
      </c>
      <c r="C8" s="4">
        <v>1.0</v>
      </c>
      <c r="D8" s="4">
        <v>2.0</v>
      </c>
      <c r="E8" s="4">
        <v>0.0</v>
      </c>
      <c r="F8" s="4">
        <v>1.0</v>
      </c>
      <c r="G8" s="4">
        <v>2.0</v>
      </c>
      <c r="H8" s="4">
        <v>1.0</v>
      </c>
      <c r="I8" s="4">
        <v>2.0</v>
      </c>
      <c r="J8" s="4">
        <v>2.0</v>
      </c>
      <c r="K8" s="13">
        <f t="shared" si="1"/>
        <v>13</v>
      </c>
      <c r="L8" s="14">
        <f t="shared" si="2"/>
        <v>0.7222222222</v>
      </c>
      <c r="M8" s="6"/>
    </row>
    <row r="9">
      <c r="A9" s="4" t="s">
        <v>21</v>
      </c>
      <c r="B9" s="4">
        <v>1.0</v>
      </c>
      <c r="C9" s="4">
        <v>2.0</v>
      </c>
      <c r="D9" s="4">
        <v>2.0</v>
      </c>
      <c r="E9" s="4">
        <v>2.0</v>
      </c>
      <c r="F9" s="4">
        <v>0.66</v>
      </c>
      <c r="G9" s="4">
        <v>2.0</v>
      </c>
      <c r="H9" s="4">
        <v>1.0</v>
      </c>
      <c r="I9" s="4">
        <v>2.0</v>
      </c>
      <c r="J9" s="4">
        <v>2.0</v>
      </c>
      <c r="K9" s="13">
        <f t="shared" si="1"/>
        <v>14.66</v>
      </c>
      <c r="L9" s="14">
        <f t="shared" si="2"/>
        <v>0.8144444444</v>
      </c>
      <c r="M9" s="6"/>
    </row>
    <row r="10">
      <c r="A10" s="4" t="s">
        <v>22</v>
      </c>
      <c r="B10" s="4">
        <v>2.0</v>
      </c>
      <c r="C10" s="4">
        <v>1.0</v>
      </c>
      <c r="D10" s="4">
        <v>2.0</v>
      </c>
      <c r="E10" s="4">
        <v>2.0</v>
      </c>
      <c r="F10" s="4">
        <v>0.66</v>
      </c>
      <c r="G10" s="4">
        <v>0.0</v>
      </c>
      <c r="H10" s="4">
        <v>0.0</v>
      </c>
      <c r="I10" s="4">
        <v>2.0</v>
      </c>
      <c r="J10" s="4">
        <v>2.0</v>
      </c>
      <c r="K10" s="13">
        <f t="shared" si="1"/>
        <v>11.66</v>
      </c>
      <c r="L10" s="14">
        <f t="shared" si="2"/>
        <v>0.6477777778</v>
      </c>
      <c r="M10" s="6"/>
    </row>
    <row r="11">
      <c r="A11" s="4" t="s">
        <v>23</v>
      </c>
      <c r="B11" s="4">
        <v>2.0</v>
      </c>
      <c r="C11" s="4">
        <v>2.0</v>
      </c>
      <c r="D11" s="4">
        <v>2.0</v>
      </c>
      <c r="E11" s="4">
        <v>0.0</v>
      </c>
      <c r="F11" s="4">
        <v>0.66</v>
      </c>
      <c r="G11" s="4">
        <v>0.0</v>
      </c>
      <c r="H11" s="4">
        <v>0.0</v>
      </c>
      <c r="I11" s="4">
        <v>2.0</v>
      </c>
      <c r="J11" s="4">
        <v>2.0</v>
      </c>
      <c r="K11" s="13">
        <f t="shared" si="1"/>
        <v>10.66</v>
      </c>
      <c r="L11" s="14">
        <f t="shared" si="2"/>
        <v>0.5922222222</v>
      </c>
      <c r="M11" s="6"/>
    </row>
    <row r="12">
      <c r="A12" s="4" t="s">
        <v>24</v>
      </c>
      <c r="B12" s="4">
        <v>2.0</v>
      </c>
      <c r="C12" s="4">
        <v>2.0</v>
      </c>
      <c r="D12" s="4">
        <v>2.0</v>
      </c>
      <c r="E12" s="4">
        <v>0.0</v>
      </c>
      <c r="F12" s="4">
        <v>1.0</v>
      </c>
      <c r="G12" s="4">
        <v>0.0</v>
      </c>
      <c r="H12" s="4">
        <v>0.0</v>
      </c>
      <c r="I12" s="4">
        <v>2.0</v>
      </c>
      <c r="J12" s="4">
        <v>2.0</v>
      </c>
      <c r="K12" s="13">
        <f t="shared" si="1"/>
        <v>11</v>
      </c>
      <c r="L12" s="14">
        <f t="shared" si="2"/>
        <v>0.6111111111</v>
      </c>
      <c r="M12" s="6"/>
    </row>
    <row r="13">
      <c r="A13" s="4" t="s">
        <v>25</v>
      </c>
      <c r="B13" s="4">
        <v>2.0</v>
      </c>
      <c r="C13" s="4">
        <v>2.0</v>
      </c>
      <c r="D13" s="4">
        <v>2.0</v>
      </c>
      <c r="E13" s="4">
        <v>0.0</v>
      </c>
      <c r="F13" s="4">
        <v>0.66</v>
      </c>
      <c r="G13" s="4">
        <v>2.0</v>
      </c>
      <c r="H13" s="4">
        <v>1.0</v>
      </c>
      <c r="I13" s="4">
        <v>2.0</v>
      </c>
      <c r="J13" s="4">
        <v>2.0</v>
      </c>
      <c r="K13" s="13">
        <f t="shared" si="1"/>
        <v>13.66</v>
      </c>
      <c r="L13" s="14">
        <f t="shared" si="2"/>
        <v>0.7588888889</v>
      </c>
      <c r="M13" s="6"/>
    </row>
    <row r="14">
      <c r="A14" s="4" t="s">
        <v>82</v>
      </c>
      <c r="B14" s="4">
        <v>2.0</v>
      </c>
      <c r="C14" s="4">
        <v>2.0</v>
      </c>
      <c r="D14" s="4">
        <v>2.0</v>
      </c>
      <c r="E14" s="4">
        <v>0.0</v>
      </c>
      <c r="F14" s="4">
        <v>1.33</v>
      </c>
      <c r="G14" s="4">
        <v>2.0</v>
      </c>
      <c r="H14" s="4">
        <v>1.0</v>
      </c>
      <c r="I14" s="4">
        <v>2.0</v>
      </c>
      <c r="J14" s="4">
        <v>2.0</v>
      </c>
      <c r="K14" s="13">
        <f t="shared" si="1"/>
        <v>14.33</v>
      </c>
      <c r="L14" s="14">
        <f t="shared" si="2"/>
        <v>0.7961111111</v>
      </c>
      <c r="M14" s="6"/>
    </row>
    <row r="15">
      <c r="A15" s="4" t="s">
        <v>83</v>
      </c>
      <c r="B15" s="4">
        <v>2.0</v>
      </c>
      <c r="C15" s="4">
        <v>1.0</v>
      </c>
      <c r="D15" s="4">
        <v>2.0</v>
      </c>
      <c r="E15" s="4">
        <v>2.0</v>
      </c>
      <c r="F15" s="4">
        <v>0.66</v>
      </c>
      <c r="G15" s="4">
        <v>2.0</v>
      </c>
      <c r="H15" s="4">
        <v>1.0</v>
      </c>
      <c r="I15" s="4">
        <v>2.0</v>
      </c>
      <c r="J15" s="4">
        <v>2.0</v>
      </c>
      <c r="K15" s="13">
        <f t="shared" si="1"/>
        <v>14.66</v>
      </c>
      <c r="L15" s="14">
        <f t="shared" si="2"/>
        <v>0.8144444444</v>
      </c>
      <c r="M15" s="6"/>
    </row>
    <row r="16">
      <c r="A16" s="4" t="s">
        <v>84</v>
      </c>
      <c r="B16" s="4">
        <v>2.0</v>
      </c>
      <c r="C16" s="4">
        <v>2.0</v>
      </c>
      <c r="D16" s="4">
        <v>2.0</v>
      </c>
      <c r="E16" s="4">
        <v>2.0</v>
      </c>
      <c r="F16" s="4">
        <v>0.33</v>
      </c>
      <c r="G16" s="4">
        <v>2.0</v>
      </c>
      <c r="H16" s="4">
        <v>1.0</v>
      </c>
      <c r="I16" s="4">
        <v>2.0</v>
      </c>
      <c r="J16" s="4">
        <v>2.0</v>
      </c>
      <c r="K16" s="13">
        <f t="shared" si="1"/>
        <v>15.33</v>
      </c>
      <c r="L16" s="14">
        <f t="shared" si="2"/>
        <v>0.8516666667</v>
      </c>
      <c r="M16" s="6"/>
    </row>
    <row r="17">
      <c r="A17" s="4" t="s">
        <v>85</v>
      </c>
      <c r="B17" s="4">
        <v>1.0</v>
      </c>
      <c r="C17" s="4">
        <v>0.0</v>
      </c>
      <c r="D17" s="4">
        <v>2.0</v>
      </c>
      <c r="E17" s="4">
        <v>2.0</v>
      </c>
      <c r="F17" s="4">
        <v>1.0</v>
      </c>
      <c r="G17" s="4">
        <v>2.0</v>
      </c>
      <c r="H17" s="4">
        <v>1.0</v>
      </c>
      <c r="I17" s="4">
        <v>2.0</v>
      </c>
      <c r="J17" s="4">
        <v>2.0</v>
      </c>
      <c r="K17" s="13">
        <f t="shared" si="1"/>
        <v>13</v>
      </c>
      <c r="L17" s="14">
        <f t="shared" si="2"/>
        <v>0.7222222222</v>
      </c>
      <c r="M17" s="6"/>
    </row>
    <row r="18">
      <c r="A18" s="9" t="s">
        <v>26</v>
      </c>
      <c r="B18" s="10">
        <f t="shared" ref="B18:L18" si="3">AVERAGE(B5:B17)</f>
        <v>1.769230769</v>
      </c>
      <c r="C18" s="10">
        <f t="shared" si="3"/>
        <v>1.461538462</v>
      </c>
      <c r="D18" s="10">
        <f t="shared" si="3"/>
        <v>2</v>
      </c>
      <c r="E18" s="10">
        <f t="shared" si="3"/>
        <v>0.7692307692</v>
      </c>
      <c r="F18" s="10">
        <f t="shared" si="3"/>
        <v>0.8423076923</v>
      </c>
      <c r="G18" s="10">
        <f t="shared" si="3"/>
        <v>1.076923077</v>
      </c>
      <c r="H18" s="10">
        <f t="shared" si="3"/>
        <v>0.5384615385</v>
      </c>
      <c r="I18" s="10">
        <f t="shared" si="3"/>
        <v>2</v>
      </c>
      <c r="J18" s="10">
        <f t="shared" si="3"/>
        <v>2</v>
      </c>
      <c r="K18" s="10">
        <f t="shared" si="3"/>
        <v>12.45769231</v>
      </c>
      <c r="L18" s="16">
        <f t="shared" si="3"/>
        <v>0.6920940171</v>
      </c>
      <c r="M18" s="6"/>
    </row>
    <row r="19">
      <c r="A19" s="1" t="s">
        <v>27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>
      <c r="A20" s="7" t="s">
        <v>28</v>
      </c>
      <c r="B20" s="7" t="s">
        <v>29</v>
      </c>
      <c r="C20" s="7" t="s">
        <v>30</v>
      </c>
      <c r="D20" s="7" t="s">
        <v>31</v>
      </c>
      <c r="E20" s="7" t="s">
        <v>32</v>
      </c>
      <c r="F20" s="6"/>
      <c r="G20" s="6"/>
      <c r="H20" s="6"/>
      <c r="I20" s="6"/>
      <c r="J20" s="6"/>
      <c r="K20" s="6"/>
      <c r="L20" s="6"/>
      <c r="M20" s="6"/>
    </row>
    <row r="21">
      <c r="A21" s="6" t="s">
        <v>33</v>
      </c>
      <c r="B21" s="6" t="s">
        <v>34</v>
      </c>
      <c r="C21" s="6" t="s">
        <v>35</v>
      </c>
      <c r="D21" s="6" t="s">
        <v>36</v>
      </c>
      <c r="E21" s="6" t="s">
        <v>86</v>
      </c>
      <c r="F21" s="6"/>
      <c r="G21" s="6"/>
      <c r="H21" s="6"/>
      <c r="I21" s="6"/>
      <c r="J21" s="6"/>
      <c r="K21" s="6"/>
      <c r="L21" s="6"/>
      <c r="M21" s="6"/>
    </row>
    <row r="22">
      <c r="A22" s="6" t="s">
        <v>38</v>
      </c>
      <c r="B22" s="6" t="s">
        <v>39</v>
      </c>
      <c r="C22" s="6" t="s">
        <v>40</v>
      </c>
      <c r="D22" s="6" t="s">
        <v>41</v>
      </c>
      <c r="E22" s="6" t="s">
        <v>42</v>
      </c>
      <c r="F22" s="6"/>
      <c r="G22" s="6"/>
      <c r="H22" s="6"/>
      <c r="I22" s="6"/>
      <c r="J22" s="6"/>
      <c r="K22" s="6"/>
      <c r="L22" s="6"/>
      <c r="M22" s="6"/>
    </row>
    <row r="23">
      <c r="A23" s="6" t="s">
        <v>43</v>
      </c>
      <c r="B23" s="6" t="s">
        <v>44</v>
      </c>
      <c r="C23" s="6" t="s">
        <v>45</v>
      </c>
      <c r="D23" s="6" t="s">
        <v>46</v>
      </c>
      <c r="E23" s="6" t="s">
        <v>47</v>
      </c>
      <c r="F23" s="6"/>
      <c r="G23" s="6"/>
      <c r="H23" s="6"/>
      <c r="I23" s="6"/>
      <c r="J23" s="6"/>
      <c r="K23" s="6"/>
      <c r="L23" s="6"/>
      <c r="M23" s="6"/>
    </row>
    <row r="24">
      <c r="A24" s="6" t="s">
        <v>48</v>
      </c>
      <c r="B24" s="6" t="s">
        <v>49</v>
      </c>
      <c r="C24" s="6" t="s">
        <v>50</v>
      </c>
      <c r="D24" s="6" t="s">
        <v>51</v>
      </c>
      <c r="E24" s="6" t="s">
        <v>52</v>
      </c>
      <c r="F24" s="6"/>
      <c r="G24" s="6"/>
      <c r="H24" s="6"/>
      <c r="I24" s="6"/>
      <c r="J24" s="6"/>
      <c r="K24" s="6"/>
      <c r="L24" s="6"/>
      <c r="M24" s="6"/>
    </row>
    <row r="25">
      <c r="A25" s="6" t="s">
        <v>53</v>
      </c>
      <c r="B25" s="6" t="s">
        <v>54</v>
      </c>
      <c r="C25" s="6" t="s">
        <v>55</v>
      </c>
      <c r="D25" s="6" t="s">
        <v>56</v>
      </c>
      <c r="E25" s="6" t="s">
        <v>57</v>
      </c>
      <c r="F25" s="6"/>
      <c r="G25" s="6"/>
      <c r="H25" s="6"/>
      <c r="I25" s="6"/>
      <c r="J25" s="6"/>
      <c r="K25" s="6"/>
      <c r="L25" s="6"/>
      <c r="M25" s="6"/>
    </row>
    <row r="26">
      <c r="A26" s="6" t="s">
        <v>58</v>
      </c>
      <c r="B26" s="6" t="s">
        <v>59</v>
      </c>
      <c r="C26" s="6" t="s">
        <v>60</v>
      </c>
      <c r="D26" s="6" t="s">
        <v>61</v>
      </c>
      <c r="E26" s="6" t="s">
        <v>62</v>
      </c>
      <c r="F26" s="6"/>
      <c r="G26" s="6"/>
      <c r="H26" s="6"/>
      <c r="I26" s="6"/>
      <c r="J26" s="6"/>
      <c r="K26" s="6"/>
      <c r="L26" s="6"/>
      <c r="M26" s="6"/>
    </row>
    <row r="27">
      <c r="A27" s="6" t="s">
        <v>63</v>
      </c>
      <c r="B27" s="6" t="s">
        <v>64</v>
      </c>
      <c r="C27" s="6" t="s">
        <v>65</v>
      </c>
      <c r="D27" s="6" t="s">
        <v>66</v>
      </c>
      <c r="E27" s="6" t="s">
        <v>67</v>
      </c>
      <c r="F27" s="6"/>
      <c r="G27" s="6"/>
      <c r="H27" s="6"/>
      <c r="I27" s="6"/>
      <c r="J27" s="6"/>
      <c r="K27" s="6"/>
      <c r="L27" s="6"/>
      <c r="M27" s="6"/>
    </row>
    <row r="28">
      <c r="A28" s="6" t="s">
        <v>68</v>
      </c>
      <c r="B28" s="6" t="s">
        <v>69</v>
      </c>
      <c r="C28" s="6" t="s">
        <v>70</v>
      </c>
      <c r="D28" s="6" t="s">
        <v>71</v>
      </c>
      <c r="E28" s="6" t="s">
        <v>72</v>
      </c>
      <c r="F28" s="6"/>
      <c r="G28" s="6"/>
      <c r="H28" s="6"/>
      <c r="I28" s="6"/>
      <c r="J28" s="6"/>
      <c r="K28" s="6"/>
      <c r="L28" s="6"/>
      <c r="M28" s="6"/>
    </row>
    <row r="29">
      <c r="A29" s="6" t="s">
        <v>73</v>
      </c>
      <c r="B29" s="6" t="s">
        <v>74</v>
      </c>
      <c r="C29" s="6" t="s">
        <v>75</v>
      </c>
      <c r="D29" s="6" t="s">
        <v>76</v>
      </c>
      <c r="E29" s="6" t="s">
        <v>77</v>
      </c>
      <c r="F29" s="6"/>
      <c r="G29" s="6"/>
      <c r="H29" s="6"/>
      <c r="I29" s="6"/>
      <c r="J29" s="6"/>
      <c r="K29" s="6"/>
      <c r="L29" s="6"/>
      <c r="M29" s="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24.5"/>
    <col customWidth="1" min="3" max="3" width="20.5"/>
    <col customWidth="1" min="4" max="4" width="24.0"/>
    <col customWidth="1" min="5" max="5" width="29.75"/>
    <col customWidth="1" min="6" max="6" width="19.5"/>
    <col customWidth="1" min="7" max="7" width="21.0"/>
    <col customWidth="1" min="8" max="8" width="19.0"/>
    <col customWidth="1" min="9" max="9" width="17.63"/>
    <col customWidth="1" min="10" max="10" width="20.5"/>
    <col customWidth="1" min="13" max="13" width="19.25"/>
  </cols>
  <sheetData>
    <row r="1">
      <c r="A1" s="1" t="s">
        <v>0</v>
      </c>
      <c r="B1" s="7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4" t="s">
        <v>87</v>
      </c>
      <c r="B2" s="4" t="s">
        <v>81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</row>
    <row r="5">
      <c r="A5" s="18" t="s">
        <v>88</v>
      </c>
      <c r="B5" s="13">
        <v>2.0</v>
      </c>
      <c r="C5" s="13">
        <v>1.0</v>
      </c>
      <c r="D5" s="13">
        <v>2.0</v>
      </c>
      <c r="E5" s="13">
        <v>1.0</v>
      </c>
      <c r="F5" s="13">
        <v>2.0</v>
      </c>
      <c r="G5" s="13">
        <v>2.0</v>
      </c>
      <c r="H5" s="13">
        <v>1.0</v>
      </c>
      <c r="I5" s="13">
        <v>2.0</v>
      </c>
      <c r="J5" s="13">
        <v>2.0</v>
      </c>
      <c r="K5" s="13">
        <f t="shared" ref="K5:K15" si="1">SUM(B5:J5)</f>
        <v>15</v>
      </c>
      <c r="L5" s="14">
        <f t="shared" ref="L5:L15" si="2">(K5/18)</f>
        <v>0.8333333333</v>
      </c>
      <c r="M5" s="6"/>
    </row>
    <row r="6">
      <c r="A6" s="18" t="s">
        <v>89</v>
      </c>
      <c r="B6" s="13">
        <v>2.0</v>
      </c>
      <c r="C6" s="13">
        <v>2.0</v>
      </c>
      <c r="D6" s="13">
        <v>2.0</v>
      </c>
      <c r="E6" s="13">
        <v>1.0</v>
      </c>
      <c r="F6" s="13">
        <v>1.0</v>
      </c>
      <c r="G6" s="13">
        <v>2.0</v>
      </c>
      <c r="H6" s="13">
        <v>1.0</v>
      </c>
      <c r="I6" s="13">
        <v>2.0</v>
      </c>
      <c r="J6" s="13">
        <v>2.0</v>
      </c>
      <c r="K6" s="13">
        <f t="shared" si="1"/>
        <v>15</v>
      </c>
      <c r="L6" s="14">
        <f t="shared" si="2"/>
        <v>0.8333333333</v>
      </c>
      <c r="M6" s="6"/>
    </row>
    <row r="7">
      <c r="A7" s="18" t="s">
        <v>90</v>
      </c>
      <c r="B7" s="13">
        <v>2.0</v>
      </c>
      <c r="C7" s="13">
        <v>1.0</v>
      </c>
      <c r="D7" s="13">
        <v>2.0</v>
      </c>
      <c r="E7" s="13">
        <v>1.0</v>
      </c>
      <c r="F7" s="6" t="s">
        <v>91</v>
      </c>
      <c r="G7" s="13">
        <v>2.0</v>
      </c>
      <c r="H7" s="13">
        <v>2.0</v>
      </c>
      <c r="I7" s="6" t="s">
        <v>92</v>
      </c>
      <c r="J7" s="13">
        <v>2.0</v>
      </c>
      <c r="K7" s="13">
        <f t="shared" si="1"/>
        <v>12</v>
      </c>
      <c r="L7" s="14">
        <f t="shared" si="2"/>
        <v>0.6666666667</v>
      </c>
      <c r="M7" s="6"/>
    </row>
    <row r="8">
      <c r="A8" s="18" t="s">
        <v>93</v>
      </c>
      <c r="B8" s="13">
        <v>2.0</v>
      </c>
      <c r="C8" s="13">
        <v>0.0</v>
      </c>
      <c r="D8" s="13">
        <v>2.0</v>
      </c>
      <c r="E8" s="13">
        <v>1.0</v>
      </c>
      <c r="F8" s="6" t="s">
        <v>91</v>
      </c>
      <c r="G8" s="13">
        <v>2.0</v>
      </c>
      <c r="H8" s="13">
        <v>2.0</v>
      </c>
      <c r="I8" s="6" t="s">
        <v>92</v>
      </c>
      <c r="J8" s="13">
        <v>2.0</v>
      </c>
      <c r="K8" s="13">
        <f t="shared" si="1"/>
        <v>11</v>
      </c>
      <c r="L8" s="14">
        <f t="shared" si="2"/>
        <v>0.6111111111</v>
      </c>
      <c r="M8" s="6"/>
    </row>
    <row r="9">
      <c r="A9" s="18" t="s">
        <v>94</v>
      </c>
      <c r="B9" s="13">
        <v>2.0</v>
      </c>
      <c r="C9" s="13">
        <v>1.0</v>
      </c>
      <c r="D9" s="13">
        <v>2.0</v>
      </c>
      <c r="E9" s="13">
        <v>2.0</v>
      </c>
      <c r="F9" s="13">
        <v>1.0</v>
      </c>
      <c r="G9" s="13">
        <v>2.0</v>
      </c>
      <c r="H9" s="13">
        <v>1.0</v>
      </c>
      <c r="I9" s="13">
        <v>2.0</v>
      </c>
      <c r="J9" s="13">
        <v>2.0</v>
      </c>
      <c r="K9" s="13">
        <f t="shared" si="1"/>
        <v>15</v>
      </c>
      <c r="L9" s="14">
        <f t="shared" si="2"/>
        <v>0.8333333333</v>
      </c>
      <c r="M9" s="6"/>
    </row>
    <row r="10">
      <c r="A10" s="18" t="s">
        <v>95</v>
      </c>
      <c r="B10" s="13">
        <v>2.0</v>
      </c>
      <c r="C10" s="13">
        <v>0.0</v>
      </c>
      <c r="D10" s="13">
        <v>2.0</v>
      </c>
      <c r="E10" s="13">
        <v>2.0</v>
      </c>
      <c r="F10" s="6" t="s">
        <v>91</v>
      </c>
      <c r="G10" s="13">
        <v>2.0</v>
      </c>
      <c r="H10" s="13">
        <v>1.0</v>
      </c>
      <c r="I10" s="13">
        <v>2.0</v>
      </c>
      <c r="J10" s="13">
        <v>2.0</v>
      </c>
      <c r="K10" s="13">
        <f t="shared" si="1"/>
        <v>13</v>
      </c>
      <c r="L10" s="14">
        <f t="shared" si="2"/>
        <v>0.7222222222</v>
      </c>
      <c r="M10" s="6"/>
    </row>
    <row r="11">
      <c r="A11" s="18" t="s">
        <v>96</v>
      </c>
      <c r="B11" s="13">
        <v>2.0</v>
      </c>
      <c r="C11" s="13">
        <v>1.0</v>
      </c>
      <c r="D11" s="13">
        <v>2.0</v>
      </c>
      <c r="E11" s="13">
        <v>1.0</v>
      </c>
      <c r="F11" s="13">
        <v>2.0</v>
      </c>
      <c r="G11" s="13">
        <v>1.0</v>
      </c>
      <c r="H11" s="13">
        <v>1.0</v>
      </c>
      <c r="I11" s="13">
        <v>2.0</v>
      </c>
      <c r="J11" s="13">
        <v>2.0</v>
      </c>
      <c r="K11" s="13">
        <f t="shared" si="1"/>
        <v>14</v>
      </c>
      <c r="L11" s="14">
        <f t="shared" si="2"/>
        <v>0.7777777778</v>
      </c>
      <c r="M11" s="6"/>
    </row>
    <row r="12">
      <c r="A12" s="18" t="s">
        <v>97</v>
      </c>
      <c r="B12" s="13">
        <v>2.0</v>
      </c>
      <c r="C12" s="13">
        <v>1.0</v>
      </c>
      <c r="D12" s="13">
        <v>2.0</v>
      </c>
      <c r="E12" s="13">
        <v>1.0</v>
      </c>
      <c r="F12" s="13">
        <v>2.0</v>
      </c>
      <c r="G12" s="13">
        <v>1.0</v>
      </c>
      <c r="H12" s="13">
        <v>1.0</v>
      </c>
      <c r="I12" s="13">
        <v>2.0</v>
      </c>
      <c r="J12" s="13">
        <v>2.0</v>
      </c>
      <c r="K12" s="13">
        <f t="shared" si="1"/>
        <v>14</v>
      </c>
      <c r="L12" s="14">
        <f t="shared" si="2"/>
        <v>0.7777777778</v>
      </c>
      <c r="M12" s="6"/>
    </row>
    <row r="13">
      <c r="A13" s="18" t="s">
        <v>98</v>
      </c>
      <c r="B13" s="13">
        <v>2.0</v>
      </c>
      <c r="C13" s="13">
        <v>2.0</v>
      </c>
      <c r="D13" s="13">
        <v>2.0</v>
      </c>
      <c r="E13" s="13">
        <v>1.0</v>
      </c>
      <c r="F13" s="13">
        <v>2.0</v>
      </c>
      <c r="G13" s="6" t="s">
        <v>99</v>
      </c>
      <c r="H13" s="6" t="s">
        <v>99</v>
      </c>
      <c r="I13" s="13">
        <v>2.0</v>
      </c>
      <c r="J13" s="13">
        <v>2.0</v>
      </c>
      <c r="K13" s="13">
        <f t="shared" si="1"/>
        <v>13</v>
      </c>
      <c r="L13" s="14">
        <f t="shared" si="2"/>
        <v>0.7222222222</v>
      </c>
      <c r="M13" s="6"/>
    </row>
    <row r="14">
      <c r="A14" s="18" t="s">
        <v>100</v>
      </c>
      <c r="B14" s="13">
        <v>2.0</v>
      </c>
      <c r="C14" s="13">
        <v>2.0</v>
      </c>
      <c r="D14" s="13">
        <v>2.0</v>
      </c>
      <c r="E14" s="13">
        <v>1.0</v>
      </c>
      <c r="F14" s="13">
        <v>2.0</v>
      </c>
      <c r="G14" s="6" t="s">
        <v>99</v>
      </c>
      <c r="H14" s="6" t="s">
        <v>99</v>
      </c>
      <c r="I14" s="13">
        <v>2.0</v>
      </c>
      <c r="J14" s="13">
        <v>2.0</v>
      </c>
      <c r="K14" s="13">
        <f t="shared" si="1"/>
        <v>13</v>
      </c>
      <c r="L14" s="14">
        <f t="shared" si="2"/>
        <v>0.7222222222</v>
      </c>
      <c r="M14" s="6"/>
    </row>
    <row r="15">
      <c r="A15" s="18" t="s">
        <v>101</v>
      </c>
      <c r="B15" s="13">
        <v>2.0</v>
      </c>
      <c r="C15" s="13">
        <v>1.0</v>
      </c>
      <c r="D15" s="13">
        <v>2.0</v>
      </c>
      <c r="E15" s="13">
        <v>2.0</v>
      </c>
      <c r="F15" s="13">
        <v>1.0</v>
      </c>
      <c r="G15" s="13">
        <v>1.0</v>
      </c>
      <c r="H15" s="6" t="s">
        <v>92</v>
      </c>
      <c r="I15" s="13">
        <v>2.0</v>
      </c>
      <c r="J15" s="13">
        <v>2.0</v>
      </c>
      <c r="K15" s="13">
        <f t="shared" si="1"/>
        <v>13</v>
      </c>
      <c r="L15" s="14">
        <f t="shared" si="2"/>
        <v>0.7222222222</v>
      </c>
      <c r="M15" s="6"/>
    </row>
    <row r="16">
      <c r="A16" s="9" t="s">
        <v>26</v>
      </c>
      <c r="B16" s="10">
        <f t="shared" ref="B16:J16" si="3">AVERAGE(B5:B12)</f>
        <v>2</v>
      </c>
      <c r="C16" s="10">
        <f t="shared" si="3"/>
        <v>0.875</v>
      </c>
      <c r="D16" s="10">
        <f t="shared" si="3"/>
        <v>2</v>
      </c>
      <c r="E16" s="10">
        <f t="shared" si="3"/>
        <v>1.25</v>
      </c>
      <c r="F16" s="10">
        <f t="shared" si="3"/>
        <v>1.6</v>
      </c>
      <c r="G16" s="10">
        <f t="shared" si="3"/>
        <v>1.75</v>
      </c>
      <c r="H16" s="10">
        <f t="shared" si="3"/>
        <v>1.25</v>
      </c>
      <c r="I16" s="10">
        <f t="shared" si="3"/>
        <v>2</v>
      </c>
      <c r="J16" s="10">
        <f t="shared" si="3"/>
        <v>2</v>
      </c>
      <c r="K16" s="10">
        <f t="shared" ref="K16:L16" si="4">AVERAGE(K5:K15)</f>
        <v>13.45454545</v>
      </c>
      <c r="L16" s="16">
        <f t="shared" si="4"/>
        <v>0.7474747475</v>
      </c>
      <c r="M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1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7" t="s">
        <v>28</v>
      </c>
      <c r="B19" s="7" t="s">
        <v>29</v>
      </c>
      <c r="C19" s="7" t="s">
        <v>30</v>
      </c>
      <c r="D19" s="7" t="s">
        <v>31</v>
      </c>
      <c r="E19" s="7" t="s">
        <v>32</v>
      </c>
      <c r="F19" s="6"/>
      <c r="G19" s="6"/>
      <c r="H19" s="6"/>
      <c r="I19" s="6"/>
      <c r="J19" s="6"/>
      <c r="K19" s="6"/>
      <c r="L19" s="6"/>
      <c r="M19" s="6"/>
    </row>
    <row r="20">
      <c r="A20" s="6" t="s">
        <v>33</v>
      </c>
      <c r="B20" s="6" t="s">
        <v>34</v>
      </c>
      <c r="C20" s="6" t="s">
        <v>35</v>
      </c>
      <c r="D20" s="6" t="s">
        <v>36</v>
      </c>
      <c r="E20" s="6" t="s">
        <v>102</v>
      </c>
      <c r="F20" s="6"/>
      <c r="G20" s="6"/>
      <c r="H20" s="6"/>
      <c r="I20" s="6"/>
      <c r="J20" s="6"/>
      <c r="K20" s="6"/>
      <c r="L20" s="6"/>
      <c r="M20" s="6"/>
    </row>
    <row r="21">
      <c r="A21" s="6" t="s">
        <v>38</v>
      </c>
      <c r="B21" s="6" t="s">
        <v>39</v>
      </c>
      <c r="C21" s="6" t="s">
        <v>40</v>
      </c>
      <c r="D21" s="6" t="s">
        <v>41</v>
      </c>
      <c r="E21" s="6" t="s">
        <v>42</v>
      </c>
      <c r="F21" s="6"/>
      <c r="G21" s="6"/>
      <c r="H21" s="6"/>
      <c r="I21" s="6"/>
      <c r="J21" s="6"/>
      <c r="K21" s="6"/>
      <c r="L21" s="6"/>
      <c r="M21" s="6"/>
    </row>
    <row r="22">
      <c r="A22" s="6" t="s">
        <v>43</v>
      </c>
      <c r="B22" s="6" t="s">
        <v>44</v>
      </c>
      <c r="C22" s="6" t="s">
        <v>45</v>
      </c>
      <c r="D22" s="6" t="s">
        <v>46</v>
      </c>
      <c r="E22" s="6" t="s">
        <v>47</v>
      </c>
      <c r="F22" s="6"/>
      <c r="G22" s="6"/>
      <c r="H22" s="6"/>
      <c r="I22" s="6"/>
      <c r="J22" s="6"/>
      <c r="K22" s="6"/>
      <c r="L22" s="6"/>
      <c r="M22" s="6"/>
    </row>
    <row r="23">
      <c r="A23" s="6" t="s">
        <v>48</v>
      </c>
      <c r="B23" s="6" t="s">
        <v>49</v>
      </c>
      <c r="C23" s="6" t="s">
        <v>50</v>
      </c>
      <c r="D23" s="6" t="s">
        <v>51</v>
      </c>
      <c r="E23" s="6" t="s">
        <v>52</v>
      </c>
      <c r="F23" s="6"/>
      <c r="G23" s="6"/>
      <c r="H23" s="6"/>
      <c r="I23" s="6"/>
      <c r="J23" s="6"/>
      <c r="K23" s="6"/>
      <c r="L23" s="6"/>
      <c r="M23" s="6"/>
    </row>
    <row r="24">
      <c r="A24" s="6" t="s">
        <v>53</v>
      </c>
      <c r="B24" s="6" t="s">
        <v>54</v>
      </c>
      <c r="C24" s="6" t="s">
        <v>55</v>
      </c>
      <c r="D24" s="6" t="s">
        <v>56</v>
      </c>
      <c r="E24" s="6" t="s">
        <v>57</v>
      </c>
      <c r="F24" s="6"/>
      <c r="G24" s="6"/>
      <c r="H24" s="6"/>
      <c r="I24" s="6"/>
      <c r="J24" s="6"/>
      <c r="K24" s="6"/>
      <c r="L24" s="6"/>
      <c r="M24" s="6"/>
    </row>
    <row r="25">
      <c r="A25" s="6" t="s">
        <v>58</v>
      </c>
      <c r="B25" s="6" t="s">
        <v>59</v>
      </c>
      <c r="C25" s="6" t="s">
        <v>60</v>
      </c>
      <c r="D25" s="6" t="s">
        <v>61</v>
      </c>
      <c r="E25" s="6" t="s">
        <v>62</v>
      </c>
      <c r="F25" s="6"/>
      <c r="G25" s="6"/>
      <c r="H25" s="6"/>
      <c r="I25" s="6"/>
      <c r="J25" s="6"/>
      <c r="K25" s="6"/>
      <c r="L25" s="6"/>
      <c r="M25" s="6"/>
    </row>
    <row r="26">
      <c r="A26" s="6" t="s">
        <v>63</v>
      </c>
      <c r="B26" s="6" t="s">
        <v>64</v>
      </c>
      <c r="C26" s="6" t="s">
        <v>65</v>
      </c>
      <c r="D26" s="6" t="s">
        <v>66</v>
      </c>
      <c r="E26" s="6" t="s">
        <v>67</v>
      </c>
      <c r="F26" s="6"/>
      <c r="G26" s="6"/>
      <c r="H26" s="6"/>
      <c r="I26" s="6"/>
      <c r="J26" s="6"/>
      <c r="K26" s="6"/>
      <c r="L26" s="6"/>
      <c r="M26" s="6"/>
    </row>
    <row r="27">
      <c r="A27" s="6" t="s">
        <v>68</v>
      </c>
      <c r="B27" s="6" t="s">
        <v>69</v>
      </c>
      <c r="C27" s="6" t="s">
        <v>70</v>
      </c>
      <c r="D27" s="6" t="s">
        <v>71</v>
      </c>
      <c r="E27" s="6" t="s">
        <v>72</v>
      </c>
      <c r="F27" s="6"/>
      <c r="G27" s="6"/>
      <c r="H27" s="6"/>
      <c r="I27" s="6"/>
      <c r="J27" s="6"/>
      <c r="K27" s="6"/>
      <c r="L27" s="6"/>
      <c r="M27" s="6"/>
    </row>
    <row r="28">
      <c r="A28" s="6" t="s">
        <v>73</v>
      </c>
      <c r="B28" s="6" t="s">
        <v>74</v>
      </c>
      <c r="C28" s="6" t="s">
        <v>75</v>
      </c>
      <c r="D28" s="6" t="s">
        <v>76</v>
      </c>
      <c r="E28" s="6" t="s">
        <v>77</v>
      </c>
      <c r="F28" s="6"/>
      <c r="G28" s="6"/>
      <c r="H28" s="6"/>
      <c r="I28" s="6"/>
      <c r="J28" s="6"/>
      <c r="K28" s="6"/>
      <c r="L28" s="6"/>
      <c r="M28" s="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5.0"/>
    <col customWidth="1" min="3" max="3" width="16.25"/>
  </cols>
  <sheetData>
    <row r="1">
      <c r="A1" s="19"/>
      <c r="B1" s="19" t="s">
        <v>33</v>
      </c>
      <c r="C1" s="19" t="s">
        <v>38</v>
      </c>
      <c r="D1" s="20" t="s">
        <v>43</v>
      </c>
      <c r="E1" s="20" t="s">
        <v>48</v>
      </c>
      <c r="F1" s="20" t="s">
        <v>53</v>
      </c>
      <c r="G1" s="20" t="s">
        <v>58</v>
      </c>
      <c r="H1" s="20" t="s">
        <v>63</v>
      </c>
      <c r="I1" s="20" t="s">
        <v>68</v>
      </c>
      <c r="J1" s="20" t="s">
        <v>73</v>
      </c>
      <c r="K1" s="20" t="s">
        <v>103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104</v>
      </c>
      <c r="B2" s="23">
        <f>AVERAGE('Observação Avaliador B- Turma e'!B$5:B$13)</f>
        <v>2</v>
      </c>
      <c r="C2" s="23">
        <f>AVERAGE('Observação Avaliador B- Turma e'!C$5:C$13)</f>
        <v>1.777777778</v>
      </c>
      <c r="D2" s="24">
        <f>AVERAGE('Observação Avaliador B- Turma e'!D$5:D$13)</f>
        <v>2</v>
      </c>
      <c r="E2" s="24">
        <f>AVERAGE('Observação Avaliador B- Turma e'!E$5:E$13)</f>
        <v>0</v>
      </c>
      <c r="F2" s="24">
        <f>AVERAGE('Observação Avaliador B- Turma e'!F$5:F$13)</f>
        <v>1.777777778</v>
      </c>
      <c r="G2" s="24">
        <f>AVERAGE('Observação Avaliador B- Turma e'!G$5:G$13)</f>
        <v>1.333333333</v>
      </c>
      <c r="H2" s="24">
        <f>AVERAGE('Observação Avaliador B- Turma e'!H$5:H$13)</f>
        <v>1</v>
      </c>
      <c r="I2" s="24">
        <f>AVERAGE('Observação Avaliador B- Turma e'!I$5:I$13)</f>
        <v>2</v>
      </c>
      <c r="J2" s="24">
        <f>AVERAGE('Observação Avaliador B- Turma e'!J$5:J$13)</f>
        <v>2</v>
      </c>
      <c r="K2" s="24">
        <f>AVERAGE('Observação Avaliador B- Turma e'!K$5:K$13)</f>
        <v>13.88888889</v>
      </c>
    </row>
    <row r="3">
      <c r="A3" s="22" t="s">
        <v>105</v>
      </c>
      <c r="B3" s="23">
        <f>MEDIAN('Observação Avaliador B- Turma e'!B$5:B$13)</f>
        <v>2</v>
      </c>
      <c r="C3" s="23">
        <f>MEDIAN('Observação Avaliador B- Turma e'!C$5:C$13)</f>
        <v>2</v>
      </c>
      <c r="D3" s="24">
        <f>MEDIAN('Observação Avaliador B- Turma e'!D$5:D$13)</f>
        <v>2</v>
      </c>
      <c r="E3" s="24">
        <f>MEDIAN('Observação Avaliador B- Turma e'!E$5:E$13)</f>
        <v>0</v>
      </c>
      <c r="F3" s="24">
        <f>MEDIAN('Observação Avaliador B- Turma e'!F$5:F$13)</f>
        <v>2</v>
      </c>
      <c r="G3" s="24">
        <f>MEDIAN('Observação Avaliador B- Turma e'!G$5:G$13)</f>
        <v>2</v>
      </c>
      <c r="H3" s="24">
        <f>MEDIAN('Observação Avaliador B- Turma e'!H$5:H$13)</f>
        <v>1</v>
      </c>
      <c r="I3" s="24">
        <f>MEDIAN('Observação Avaliador B- Turma e'!I$5:I$13)</f>
        <v>2</v>
      </c>
      <c r="J3" s="24">
        <f>MEDIAN('Observação Avaliador B- Turma e'!J$5:J$13)</f>
        <v>2</v>
      </c>
      <c r="K3" s="24">
        <f>MEDIAN('Observação Avaliador B- Turma e'!K$5:K$13)</f>
        <v>14</v>
      </c>
    </row>
    <row r="4">
      <c r="A4" s="22" t="s">
        <v>106</v>
      </c>
      <c r="B4" s="23">
        <f>MIN('Observação Avaliador B- Turma e'!B$5:B$13)</f>
        <v>2</v>
      </c>
      <c r="C4" s="23">
        <f>MIN('Observação Avaliador B- Turma e'!C$5:C$13)</f>
        <v>1</v>
      </c>
      <c r="D4" s="24">
        <f>MIN('Observação Avaliador B- Turma e'!D$5:D$13)</f>
        <v>2</v>
      </c>
      <c r="E4" s="24">
        <f>MIN('Observação Avaliador B- Turma e'!E$5:E$13)</f>
        <v>0</v>
      </c>
      <c r="F4" s="24">
        <f>MIN('Observação Avaliador B- Turma e'!F$5:F$13)</f>
        <v>1</v>
      </c>
      <c r="G4" s="24">
        <f>MIN('Observação Avaliador B- Turma e'!G$5:G$13)</f>
        <v>0</v>
      </c>
      <c r="H4" s="24">
        <f>MIN('Observação Avaliador B- Turma e'!H$5:H$13)</f>
        <v>0</v>
      </c>
      <c r="I4" s="24">
        <f>MIN('Observação Avaliador B- Turma e'!I$5:I$13)</f>
        <v>2</v>
      </c>
      <c r="J4" s="24">
        <f>MIN('Observação Avaliador B- Turma e'!J$5:J$13)</f>
        <v>2</v>
      </c>
      <c r="K4" s="24">
        <f>MIN('Observação Avaliador B- Turma e'!K$4:K$16)</f>
        <v>11</v>
      </c>
    </row>
    <row r="5">
      <c r="A5" s="22" t="s">
        <v>107</v>
      </c>
      <c r="B5" s="23">
        <f>_xlfn.STDEV.S('Observação Avaliador B- Turma e'!B$5:B$13)</f>
        <v>0</v>
      </c>
      <c r="C5" s="23">
        <f>_xlfn.STDEV.S('Observação Avaliador B- Turma e'!C$5:C$13)</f>
        <v>0.4409585518</v>
      </c>
      <c r="D5" s="24">
        <f>_xlfn.STDEV.S('Observação Avaliador B- Turma e'!D$5:D$13)</f>
        <v>0</v>
      </c>
      <c r="E5" s="24">
        <f>_xlfn.STDEV.S('Observação Avaliador B- Turma e'!E$5:E$13)</f>
        <v>0</v>
      </c>
      <c r="F5" s="24">
        <f>_xlfn.STDEV.S('Observação Avaliador B- Turma e'!F$5:F$13)</f>
        <v>0.4409585518</v>
      </c>
      <c r="G5" s="24">
        <f>_xlfn.STDEV.S('Observação Avaliador B- Turma e'!G$5:G$13)</f>
        <v>0.8660254038</v>
      </c>
      <c r="H5" s="24">
        <f>_xlfn.STDEV.S('Observação Avaliador B- Turma e'!H$5:H$13)</f>
        <v>0.7071067812</v>
      </c>
      <c r="I5" s="24">
        <f>_xlfn.STDEV.S('Observação Avaliador B- Turma e'!I$5:I$13)</f>
        <v>0</v>
      </c>
      <c r="J5" s="24">
        <f>_xlfn.STDEV.S('Observação Avaliador B- Turma e'!J$5:J$13)</f>
        <v>0</v>
      </c>
      <c r="K5" s="24">
        <f>_xlfn.STDEV.S('Observação Avaliador B- Turma e'!K$5:K$13)</f>
        <v>1.691481928</v>
      </c>
    </row>
    <row r="6">
      <c r="A6" s="22" t="s">
        <v>108</v>
      </c>
      <c r="B6" s="23">
        <f t="shared" ref="B6:K6" si="1">IFERROR(B5/B2, 0)</f>
        <v>0</v>
      </c>
      <c r="C6" s="25">
        <f t="shared" si="1"/>
        <v>0.2480391854</v>
      </c>
      <c r="D6" s="24">
        <f t="shared" si="1"/>
        <v>0</v>
      </c>
      <c r="E6" s="24">
        <f t="shared" si="1"/>
        <v>0</v>
      </c>
      <c r="F6" s="24">
        <f t="shared" si="1"/>
        <v>0.2480391854</v>
      </c>
      <c r="G6" s="24">
        <f t="shared" si="1"/>
        <v>0.6495190528</v>
      </c>
      <c r="H6" s="24">
        <f t="shared" si="1"/>
        <v>0.7071067812</v>
      </c>
      <c r="I6" s="24">
        <f t="shared" si="1"/>
        <v>0</v>
      </c>
      <c r="J6" s="24">
        <f t="shared" si="1"/>
        <v>0</v>
      </c>
      <c r="K6" s="24">
        <f t="shared" si="1"/>
        <v>0.1217866988</v>
      </c>
    </row>
    <row r="8">
      <c r="A8" s="26" t="s">
        <v>109</v>
      </c>
      <c r="B8" s="23">
        <f>AVERAGE('Observação Avaliador A - Turma '!B$5:B$13)</f>
        <v>2</v>
      </c>
      <c r="C8" s="23">
        <f>AVERAGE('Observação Avaliador A - Turma '!C$5:C$13)</f>
        <v>1.777777778</v>
      </c>
      <c r="D8" s="24">
        <f>AVERAGE('Observação Avaliador A - Turma '!D$5:D$13)</f>
        <v>2</v>
      </c>
      <c r="E8" s="24">
        <f>AVERAGE('Observação Avaliador A - Turma '!E$5:E$13)</f>
        <v>0</v>
      </c>
      <c r="F8" s="24">
        <f>AVERAGE('Observação Avaliador A - Turma '!F$5:F$13)</f>
        <v>1.777777778</v>
      </c>
      <c r="G8" s="24">
        <f>AVERAGE('Observação Avaliador A - Turma '!G$5:G$13)</f>
        <v>1.555555556</v>
      </c>
      <c r="H8" s="24">
        <f>AVERAGE('Observação Avaliador A - Turma '!H$5:H$13)</f>
        <v>0.7777777778</v>
      </c>
      <c r="I8" s="24">
        <f>AVERAGE('Observação Avaliador A - Turma '!I$5:I$13)</f>
        <v>2</v>
      </c>
      <c r="J8" s="24">
        <f>AVERAGE('Observação Avaliador A - Turma '!J$5:J$13)</f>
        <v>2</v>
      </c>
      <c r="K8" s="24">
        <f>AVERAGE('Observação Avaliador B- Turma e'!K$5:K$13)</f>
        <v>13.88888889</v>
      </c>
    </row>
    <row r="9">
      <c r="A9" s="26" t="s">
        <v>105</v>
      </c>
      <c r="B9" s="23">
        <f>MEDIAN('Observação Avaliador A - Turma '!B$5:B$13)</f>
        <v>2</v>
      </c>
      <c r="C9" s="23">
        <f>MEDIAN('Observação Avaliador A - Turma '!C$5:C$13)</f>
        <v>2</v>
      </c>
      <c r="D9" s="24">
        <f>MEDIAN('Observação Avaliador A - Turma '!D$5:D$13)</f>
        <v>2</v>
      </c>
      <c r="E9" s="24">
        <f>MEDIAN('Observação Avaliador A - Turma '!E$5:E$13)</f>
        <v>0</v>
      </c>
      <c r="F9" s="24">
        <f>MEDIAN('Observação Avaliador A - Turma '!F$5:F$13)</f>
        <v>2</v>
      </c>
      <c r="G9" s="24">
        <f>MEDIAN('Observação Avaliador A - Turma '!G$5:G$13)</f>
        <v>2</v>
      </c>
      <c r="H9" s="24">
        <f>MEDIAN('Observação Avaliador A - Turma '!H$5:H$13)</f>
        <v>1</v>
      </c>
      <c r="I9" s="24">
        <f>MEDIAN('Observação Avaliador A - Turma '!I$5:I$13)</f>
        <v>2</v>
      </c>
      <c r="J9" s="24">
        <f>MEDIAN('Observação Avaliador A - Turma '!J$5:J$13)</f>
        <v>2</v>
      </c>
      <c r="K9" s="24">
        <f>MEDIAN('Observação Avaliador B- Turma e'!K$5:K$13)</f>
        <v>14</v>
      </c>
    </row>
    <row r="10">
      <c r="A10" s="26" t="s">
        <v>106</v>
      </c>
      <c r="B10" s="23">
        <f>MIN('Observação Avaliador A - Turma '!B$5:B$13)</f>
        <v>2</v>
      </c>
      <c r="C10" s="23">
        <f>MIN('Observação Avaliador A - Turma '!C$5:C$13)</f>
        <v>1</v>
      </c>
      <c r="D10" s="24">
        <f>MIN('Observação Avaliador A - Turma '!D$5:D$13)</f>
        <v>2</v>
      </c>
      <c r="E10" s="24">
        <f>MIN('Observação Avaliador A - Turma '!E$5:E$13)</f>
        <v>0</v>
      </c>
      <c r="F10" s="24">
        <f>MIN('Observação Avaliador A - Turma '!F$5:F$13)</f>
        <v>1</v>
      </c>
      <c r="G10" s="24">
        <f>MIN('Observação Avaliador A - Turma '!G$5:G$13)</f>
        <v>0</v>
      </c>
      <c r="H10" s="24">
        <f>MIN('Observação Avaliador A - Turma '!H$5:H$13)</f>
        <v>0</v>
      </c>
      <c r="I10" s="24">
        <f>MIN('Observação Avaliador A - Turma '!I$5:I$13)</f>
        <v>2</v>
      </c>
      <c r="J10" s="24">
        <f>MIN('Observação Avaliador A - Turma '!J$5:J$13)</f>
        <v>2</v>
      </c>
      <c r="K10" s="24">
        <f>MIN('Observação Avaliador B- Turma e'!K$5:K$13)</f>
        <v>11</v>
      </c>
    </row>
    <row r="11">
      <c r="A11" s="26" t="s">
        <v>107</v>
      </c>
      <c r="B11" s="23">
        <f>_xlfn.STDEV.S('Observação Avaliador A - Turma '!B$5:B$13)</f>
        <v>0</v>
      </c>
      <c r="C11" s="23">
        <f>_xlfn.STDEV.S('Observação Avaliador A - Turma '!C$5:C$13)</f>
        <v>0.4409585518</v>
      </c>
      <c r="D11" s="24">
        <f>_xlfn.STDEV.S('Observação Avaliador A - Turma '!D$5:D$13)</f>
        <v>0</v>
      </c>
      <c r="E11" s="24">
        <f>_xlfn.STDEV.S('Observação Avaliador A - Turma '!E$5:E$13)</f>
        <v>0</v>
      </c>
      <c r="F11" s="24">
        <f>_xlfn.STDEV.S('Observação Avaliador A - Turma '!F$5:F$13)</f>
        <v>0.4409585518</v>
      </c>
      <c r="G11" s="24">
        <f>_xlfn.STDEV.S('Observação Avaliador A - Turma '!G$5:G$13)</f>
        <v>0.8819171037</v>
      </c>
      <c r="H11" s="24">
        <f>_xlfn.STDEV.S('Observação Avaliador A - Turma '!H$5:H$13)</f>
        <v>0.4409585518</v>
      </c>
      <c r="I11" s="24">
        <f>_xlfn.STDEV.S('Observação Avaliador A - Turma '!I$5:I$13)</f>
        <v>0</v>
      </c>
      <c r="J11" s="24">
        <f>_xlfn.STDEV.S('Observação Avaliador A - Turma '!J$5:J$13)</f>
        <v>0</v>
      </c>
      <c r="K11" s="24">
        <f>_xlfn.STDEV.S('Observação Avaliador B- Turma e'!K$5:K$13)</f>
        <v>1.691481928</v>
      </c>
    </row>
    <row r="12">
      <c r="A12" s="26" t="s">
        <v>108</v>
      </c>
      <c r="B12" s="23">
        <f t="shared" ref="B12:K12" si="2">IFERROR(B11/B8, 0)</f>
        <v>0</v>
      </c>
      <c r="C12" s="25">
        <f t="shared" si="2"/>
        <v>0.2480391854</v>
      </c>
      <c r="D12" s="24">
        <f t="shared" si="2"/>
        <v>0</v>
      </c>
      <c r="E12" s="24">
        <f t="shared" si="2"/>
        <v>0</v>
      </c>
      <c r="F12" s="24">
        <f t="shared" si="2"/>
        <v>0.2480391854</v>
      </c>
      <c r="G12" s="24">
        <f t="shared" si="2"/>
        <v>0.5669467095</v>
      </c>
      <c r="H12" s="24">
        <f t="shared" si="2"/>
        <v>0.5669467095</v>
      </c>
      <c r="I12" s="24">
        <f t="shared" si="2"/>
        <v>0</v>
      </c>
      <c r="J12" s="24">
        <f t="shared" si="2"/>
        <v>0</v>
      </c>
      <c r="K12" s="24">
        <f t="shared" si="2"/>
        <v>0.1217866988</v>
      </c>
    </row>
    <row r="14">
      <c r="A14" s="26" t="s">
        <v>110</v>
      </c>
      <c r="B14" s="24">
        <f>AVERAGE('Página3'!B$5:B$17)</f>
        <v>1.769230769</v>
      </c>
      <c r="C14" s="24">
        <f>AVERAGE('Página3'!C$5:C$17)</f>
        <v>1.461538462</v>
      </c>
      <c r="D14" s="24">
        <f>AVERAGE('Página3'!D$5:D$17)</f>
        <v>2</v>
      </c>
      <c r="E14" s="24">
        <f>AVERAGE('Página3'!E$5:E$17)</f>
        <v>0.7692307692</v>
      </c>
      <c r="F14" s="24">
        <f>AVERAGE('Página3'!F$5:F$17)</f>
        <v>0.8423076923</v>
      </c>
      <c r="G14" s="24">
        <f>AVERAGE('Página3'!G$5:G$17)</f>
        <v>1.076923077</v>
      </c>
      <c r="H14" s="24">
        <f>AVERAGE('Página3'!H$5:H$17)</f>
        <v>0.5384615385</v>
      </c>
      <c r="I14" s="24">
        <f>AVERAGE('Página3'!I$5:I$17)</f>
        <v>2</v>
      </c>
      <c r="J14" s="24">
        <f>AVERAGE('Página3'!J$5:J$17)</f>
        <v>2</v>
      </c>
      <c r="K14" s="24">
        <f>AVERAGE('Página3'!K$5:K$17)</f>
        <v>12.45769231</v>
      </c>
    </row>
    <row r="15">
      <c r="A15" s="26" t="s">
        <v>105</v>
      </c>
      <c r="B15" s="24">
        <f>MEDIAN('Página3'!B$5:B$17)</f>
        <v>2</v>
      </c>
      <c r="C15" s="24">
        <f>MEDIAN('Página3'!C$5:C$17)</f>
        <v>2</v>
      </c>
      <c r="D15" s="24">
        <f>MEDIAN('Página3'!D$5:D$17)</f>
        <v>2</v>
      </c>
      <c r="E15" s="24">
        <f>MEDIAN('Página3'!E$5:E$17)</f>
        <v>0</v>
      </c>
      <c r="F15" s="24">
        <f>MEDIAN('Página3'!F$5:F$17)</f>
        <v>0.66</v>
      </c>
      <c r="G15" s="24">
        <f>MEDIAN('Página3'!G$5:G$17)</f>
        <v>2</v>
      </c>
      <c r="H15" s="24">
        <f>MEDIAN('Página3'!H$5:H$17)</f>
        <v>1</v>
      </c>
      <c r="I15" s="24">
        <f>MEDIAN('Página3'!I$5:I$17)</f>
        <v>2</v>
      </c>
      <c r="J15" s="24">
        <f>MEDIAN('Página3'!J$5:J$17)</f>
        <v>2</v>
      </c>
      <c r="K15" s="24">
        <f>MEDIAN('Página3'!K$5:K$17)</f>
        <v>13</v>
      </c>
    </row>
    <row r="16">
      <c r="A16" s="26" t="s">
        <v>106</v>
      </c>
      <c r="B16" s="24">
        <f>MIN('Página3'!B$5:B$17)</f>
        <v>1</v>
      </c>
      <c r="C16" s="24">
        <f>MIN('Página3'!C$5:C$17)</f>
        <v>0</v>
      </c>
      <c r="D16" s="24">
        <f>MIN('Página3'!D$5:D$17)</f>
        <v>2</v>
      </c>
      <c r="E16" s="24">
        <f>MIN('Página3'!E$5:E$17)</f>
        <v>0</v>
      </c>
      <c r="F16" s="24">
        <f>MIN('Página3'!F$5:F$17)</f>
        <v>0.33</v>
      </c>
      <c r="G16" s="24">
        <f>MIN('Página3'!G$5:G$17)</f>
        <v>0</v>
      </c>
      <c r="H16" s="24">
        <f>MIN('Página3'!H$5:H$17)</f>
        <v>0</v>
      </c>
      <c r="I16" s="24">
        <f>MIN('Página3'!I$5:I$17)</f>
        <v>2</v>
      </c>
      <c r="J16" s="24">
        <f>MIN('Página3'!J$5:J$17)</f>
        <v>2</v>
      </c>
      <c r="K16" s="24">
        <f>MIN('Página3'!K$5:K$17)</f>
        <v>8.66</v>
      </c>
    </row>
    <row r="17">
      <c r="A17" s="26" t="s">
        <v>107</v>
      </c>
      <c r="B17" s="24">
        <f>_xlfn.STDEV.S('Página3'!B$5:B$17)</f>
        <v>0.4385290097</v>
      </c>
      <c r="C17" s="24">
        <f>_xlfn.STDEV.S('Página3'!C$5:C$17)</f>
        <v>0.6602252918</v>
      </c>
      <c r="D17" s="24">
        <f>_xlfn.STDEV.S('Página3'!D$5:D$17)</f>
        <v>0</v>
      </c>
      <c r="E17" s="24">
        <f>_xlfn.STDEV.S('Página3'!E$5:E$17)</f>
        <v>1.012739367</v>
      </c>
      <c r="F17" s="24">
        <f>_xlfn.STDEV.S('Página3'!F$5:F$17)</f>
        <v>0.2939714795</v>
      </c>
      <c r="G17" s="24">
        <f>_xlfn.STDEV.S('Página3'!G$5:G$17)</f>
        <v>1.037749043</v>
      </c>
      <c r="H17" s="24">
        <f>_xlfn.STDEV.S('Página3'!H$5:H$17)</f>
        <v>0.5188745217</v>
      </c>
      <c r="I17" s="24">
        <f>_xlfn.STDEV.S('Página3'!I$5:I$17)</f>
        <v>0</v>
      </c>
      <c r="J17" s="24">
        <f>_xlfn.STDEV.S('Página3'!J$5:J$17)</f>
        <v>0</v>
      </c>
      <c r="K17" s="24">
        <f>_xlfn.STDEV.S('Página3'!K$5:K$17)</f>
        <v>2.052580302</v>
      </c>
    </row>
    <row r="18">
      <c r="A18" s="26" t="s">
        <v>108</v>
      </c>
      <c r="B18" s="24">
        <f t="shared" ref="B18:K18" si="3">IFERROR(B17/B14, 0)</f>
        <v>0.2478642228</v>
      </c>
      <c r="C18" s="24">
        <f t="shared" si="3"/>
        <v>0.4517330944</v>
      </c>
      <c r="D18" s="24">
        <f t="shared" si="3"/>
        <v>0</v>
      </c>
      <c r="E18" s="24">
        <f t="shared" si="3"/>
        <v>1.316561177</v>
      </c>
      <c r="F18" s="24">
        <f t="shared" si="3"/>
        <v>0.349007236</v>
      </c>
      <c r="G18" s="24">
        <f t="shared" si="3"/>
        <v>0.9636241117</v>
      </c>
      <c r="H18" s="24">
        <f t="shared" si="3"/>
        <v>0.9636241117</v>
      </c>
      <c r="I18" s="24">
        <f t="shared" si="3"/>
        <v>0</v>
      </c>
      <c r="J18" s="24">
        <f t="shared" si="3"/>
        <v>0</v>
      </c>
      <c r="K18" s="24">
        <f t="shared" si="3"/>
        <v>0.1647640872</v>
      </c>
    </row>
    <row r="20">
      <c r="A20" s="26" t="s">
        <v>111</v>
      </c>
      <c r="B20" s="24">
        <f>AVERAGE('Observação Avaliador C- Turma c'!B$5:B$15)</f>
        <v>2</v>
      </c>
      <c r="C20" s="24">
        <f>AVERAGE('Observação Avaliador C- Turma c'!C$5:C$15)</f>
        <v>1.090909091</v>
      </c>
      <c r="D20" s="24">
        <f>AVERAGE('Observação Avaliador C- Turma c'!D$5:D$15)</f>
        <v>2</v>
      </c>
      <c r="E20" s="24">
        <f>AVERAGE('Observação Avaliador C- Turma c'!E$5:E$15)</f>
        <v>1.272727273</v>
      </c>
      <c r="F20" s="24">
        <f>AVERAGE('Observação Avaliador C- Turma c'!F$5:F$15)</f>
        <v>1.625</v>
      </c>
      <c r="G20" s="24">
        <f>AVERAGE('Observação Avaliador C- Turma c'!G$5:G$15)</f>
        <v>1.666666667</v>
      </c>
      <c r="H20" s="24">
        <f>AVERAGE('Observação Avaliador C- Turma c'!H$5:H$15)</f>
        <v>1.25</v>
      </c>
      <c r="I20" s="24">
        <f>AVERAGE('Observação Avaliador C- Turma c'!I$5:I$15)</f>
        <v>2</v>
      </c>
      <c r="J20" s="24">
        <f>AVERAGE('Observação Avaliador C- Turma c'!J$5:J$15)</f>
        <v>2</v>
      </c>
      <c r="K20" s="24">
        <f>AVERAGE('Observação Avaliador C- Turma c'!K$5:K$15)</f>
        <v>13.45454545</v>
      </c>
    </row>
    <row r="21">
      <c r="A21" s="26" t="s">
        <v>105</v>
      </c>
      <c r="B21" s="24">
        <f>MEDIAN('Observação Avaliador C- Turma c'!B$5:B$15)</f>
        <v>2</v>
      </c>
      <c r="C21" s="24">
        <f>MEDIAN('Observação Avaliador C- Turma c'!C$5:C$15)</f>
        <v>1</v>
      </c>
      <c r="D21" s="24">
        <f>MEDIAN('Observação Avaliador C- Turma c'!D$5:D$15)</f>
        <v>2</v>
      </c>
      <c r="E21" s="24">
        <f>MEDIAN('Observação Avaliador C- Turma c'!E$5:E$15)</f>
        <v>1</v>
      </c>
      <c r="F21" s="24">
        <f>MEDIAN('Observação Avaliador C- Turma c'!F$5:F$15)</f>
        <v>2</v>
      </c>
      <c r="G21" s="24">
        <f>MEDIAN('Observação Avaliador C- Turma c'!G$5:G$15)</f>
        <v>2</v>
      </c>
      <c r="H21" s="24">
        <f>MEDIAN('Observação Avaliador C- Turma c'!H$5:H$15)</f>
        <v>1</v>
      </c>
      <c r="I21" s="24">
        <f>MEDIAN('Observação Avaliador C- Turma c'!I$5:I$15)</f>
        <v>2</v>
      </c>
      <c r="J21" s="24">
        <f>MEDIAN('Observação Avaliador C- Turma c'!J$5:J$15)</f>
        <v>2</v>
      </c>
      <c r="K21" s="24">
        <f>MEDIAN('Observação Avaliador C- Turma c'!K$5:K$15)</f>
        <v>13</v>
      </c>
    </row>
    <row r="22">
      <c r="A22" s="26" t="s">
        <v>106</v>
      </c>
      <c r="B22" s="24">
        <f>MIN('Observação Avaliador C- Turma c'!B$5:B$15)</f>
        <v>2</v>
      </c>
      <c r="C22" s="24">
        <f>MIN('Observação Avaliador C- Turma c'!C$5:C$15)</f>
        <v>0</v>
      </c>
      <c r="D22" s="24">
        <f>MIN('Observação Avaliador C- Turma c'!D$5:D$15)</f>
        <v>2</v>
      </c>
      <c r="E22" s="24">
        <f>MIN('Observação Avaliador C- Turma c'!E$5:E$15)</f>
        <v>1</v>
      </c>
      <c r="F22" s="24">
        <f>MIN('Observação Avaliador C- Turma c'!F$5:F$15)</f>
        <v>1</v>
      </c>
      <c r="G22" s="24">
        <f>MIN('Observação Avaliador C- Turma c'!G$5:G$15)</f>
        <v>1</v>
      </c>
      <c r="H22" s="24">
        <f>MIN('Observação Avaliador C- Turma c'!H$5:H$15)</f>
        <v>1</v>
      </c>
      <c r="I22" s="24">
        <f>MIN('Observação Avaliador C- Turma c'!I$5:I$15)</f>
        <v>2</v>
      </c>
      <c r="J22" s="24">
        <f>MIN('Observação Avaliador C- Turma c'!J$5:J$15)</f>
        <v>2</v>
      </c>
      <c r="K22" s="24">
        <f>MIN('Observação Avaliador C- Turma c'!K$5:K$15)</f>
        <v>11</v>
      </c>
    </row>
    <row r="23">
      <c r="A23" s="26" t="s">
        <v>107</v>
      </c>
      <c r="B23" s="24">
        <f>_xlfn.STDEV.S('Observação Avaliador C- Turma c'!B$4:B$16)</f>
        <v>0</v>
      </c>
      <c r="C23" s="24">
        <f>_xlfn.STDEV.S('Observação Avaliador C- Turma c'!C$5:C$15)</f>
        <v>0.7006490497</v>
      </c>
      <c r="D23" s="24">
        <f>_xlfn.STDEV.S('Observação Avaliador C- Turma c'!D$5:D$15)</f>
        <v>0</v>
      </c>
      <c r="E23" s="24">
        <f>_xlfn.STDEV.S('Observação Avaliador C- Turma c'!E$5:E$15)</f>
        <v>0.4670993665</v>
      </c>
      <c r="F23" s="24">
        <f>_xlfn.STDEV.S('Observação Avaliador C- Turma c'!F$5:F$15)</f>
        <v>0.5175491695</v>
      </c>
      <c r="G23" s="24">
        <f>_xlfn.STDEV.S('Observação Avaliador C- Turma c'!G$5:G$15)</f>
        <v>0.5</v>
      </c>
      <c r="H23" s="24">
        <f>_xlfn.STDEV.S('Observação Avaliador C- Turma c'!H$5:H$15)</f>
        <v>0.4629100499</v>
      </c>
      <c r="I23" s="24">
        <f>_xlfn.STDEV.S('Observação Avaliador C- Turma c'!I$5:I$15)</f>
        <v>0</v>
      </c>
      <c r="J23" s="24">
        <f>_xlfn.STDEV.S('Observação Avaliador C- Turma c'!J$5:J$15)</f>
        <v>0</v>
      </c>
      <c r="K23" s="24">
        <f>_xlfn.STDEV.S('Observação Avaliador C- Turma c'!K$5:K$15)</f>
        <v>1.293339581</v>
      </c>
    </row>
    <row r="24">
      <c r="A24" s="26" t="s">
        <v>108</v>
      </c>
      <c r="B24" s="24">
        <f t="shared" ref="B24:K24" si="4">IFERROR(B23/B20, 0)</f>
        <v>0</v>
      </c>
      <c r="C24" s="24">
        <f t="shared" si="4"/>
        <v>0.6422616289</v>
      </c>
      <c r="D24" s="24">
        <f t="shared" si="4"/>
        <v>0</v>
      </c>
      <c r="E24" s="24">
        <f t="shared" si="4"/>
        <v>0.3670066451</v>
      </c>
      <c r="F24" s="24">
        <f t="shared" si="4"/>
        <v>0.3184917966</v>
      </c>
      <c r="G24" s="24">
        <f t="shared" si="4"/>
        <v>0.3</v>
      </c>
      <c r="H24" s="24">
        <f t="shared" si="4"/>
        <v>0.3703280399</v>
      </c>
      <c r="I24" s="24">
        <f t="shared" si="4"/>
        <v>0</v>
      </c>
      <c r="J24" s="24">
        <f t="shared" si="4"/>
        <v>0</v>
      </c>
      <c r="K24" s="24">
        <f t="shared" si="4"/>
        <v>0.09612659051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21"/>
      <c r="B1" s="20" t="s">
        <v>33</v>
      </c>
      <c r="C1" s="20" t="s">
        <v>38</v>
      </c>
      <c r="D1" s="20" t="s">
        <v>43</v>
      </c>
      <c r="E1" s="20" t="s">
        <v>48</v>
      </c>
      <c r="F1" s="20" t="s">
        <v>53</v>
      </c>
      <c r="G1" s="20" t="s">
        <v>58</v>
      </c>
      <c r="H1" s="20" t="s">
        <v>63</v>
      </c>
      <c r="I1" s="20" t="s">
        <v>68</v>
      </c>
      <c r="J1" s="20" t="s">
        <v>73</v>
      </c>
      <c r="K1" s="20" t="s">
        <v>103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6" t="s">
        <v>112</v>
      </c>
      <c r="B2" s="24">
        <f t="array" ref="B2">AVERAGE({'Observação Avaliador B- Turma e'!B$5:B$13; 'Observação Avaliador A - Turma '!B$5:B$13})</f>
        <v>2</v>
      </c>
      <c r="C2" s="24">
        <f t="array" ref="C2">AVERAGE({'Observação Avaliador B- Turma e'!C$5:C$13; 'Observação Avaliador A - Turma '!C$5:C$13})</f>
        <v>1.777777778</v>
      </c>
      <c r="D2" s="24">
        <f t="array" ref="D2">AVERAGE({'Observação Avaliador B- Turma e'!D$5:D$13; 'Observação Avaliador A - Turma '!D$5:D$13})</f>
        <v>2</v>
      </c>
      <c r="E2" s="24">
        <f t="array" ref="E2">AVERAGE({'Observação Avaliador B- Turma e'!E$5:E$13; 'Observação Avaliador A - Turma '!E$5:E$13})</f>
        <v>0</v>
      </c>
      <c r="F2" s="24">
        <f t="array" ref="F2">AVERAGE({'Observação Avaliador B- Turma e'!F$5:F$13; 'Observação Avaliador A - Turma '!F$5:F$13})</f>
        <v>1.777777778</v>
      </c>
      <c r="G2" s="24">
        <f t="array" ref="G2">AVERAGE({'Observação Avaliador B- Turma e'!G$5:G$13; 'Observação Avaliador A - Turma '!G$5:G$13})</f>
        <v>1.444444444</v>
      </c>
      <c r="H2" s="24">
        <f t="array" ref="H2">AVERAGE({'Observação Avaliador B- Turma e'!H$5:H$13; 'Observação Avaliador A - Turma '!H$5:H$13})</f>
        <v>0.8888888889</v>
      </c>
      <c r="I2" s="24">
        <f t="array" ref="I2">AVERAGE({'Observação Avaliador B- Turma e'!I$5:I$13; 'Observação Avaliador A - Turma '!I$5:I$13})</f>
        <v>2</v>
      </c>
      <c r="J2" s="24">
        <f t="array" ref="J2">AVERAGE({'Observação Avaliador B- Turma e'!J$5:J$13; 'Observação Avaliador A - Turma '!J$5:J$13})</f>
        <v>2</v>
      </c>
      <c r="K2" s="24">
        <f t="array" ref="K2">AVERAGE({'Observação Avaliador B- Turma e'!K$5:K$13; 'Observação Avaliador A - Turma '!K$5:K$13})</f>
        <v>13.88888889</v>
      </c>
    </row>
    <row r="3">
      <c r="A3" s="26" t="s">
        <v>105</v>
      </c>
      <c r="B3" s="24">
        <f t="array" ref="B3">MEDIAN({'Observação Avaliador B- Turma e'!B$5:B$13; 'Observação Avaliador A - Turma '!B$5:B$13})</f>
        <v>2</v>
      </c>
      <c r="C3" s="24">
        <f t="array" ref="C3">MEDIAN({'Observação Avaliador B- Turma e'!C$5:C$13; 'Observação Avaliador A - Turma '!C$5:C$13})</f>
        <v>2</v>
      </c>
      <c r="D3" s="24">
        <f t="array" ref="D3">MEDIAN({'Observação Avaliador B- Turma e'!D$5:D$13; 'Observação Avaliador A - Turma '!D$5:D$13})</f>
        <v>2</v>
      </c>
      <c r="E3" s="24">
        <f t="array" ref="E3">MEDIAN({'Observação Avaliador B- Turma e'!E$5:E$13; 'Observação Avaliador A - Turma '!E$5:E$13})</f>
        <v>0</v>
      </c>
      <c r="F3" s="24">
        <f t="array" ref="F3">MEDIAN({'Observação Avaliador B- Turma e'!F$5:F$13; 'Observação Avaliador A - Turma '!F$5:F$13})</f>
        <v>2</v>
      </c>
      <c r="G3" s="24">
        <f t="array" ref="G3">MEDIAN({'Observação Avaliador B- Turma e'!G$5:G$13; 'Observação Avaliador A - Turma '!G$5:G$13})</f>
        <v>2</v>
      </c>
      <c r="H3" s="24">
        <f t="array" ref="H3">MEDIAN({'Observação Avaliador B- Turma e'!H$5:H$13; 'Observação Avaliador A - Turma '!H$5:H$13})</f>
        <v>1</v>
      </c>
      <c r="I3" s="24">
        <f t="array" ref="I3">MEDIAN({'Observação Avaliador B- Turma e'!I$5:I$13; 'Observação Avaliador A - Turma '!I$5:I$13})</f>
        <v>2</v>
      </c>
      <c r="J3" s="24">
        <f t="array" ref="J3">MEDIAN({'Observação Avaliador B- Turma e'!J$5:J$13; 'Observação Avaliador A - Turma '!J$5:J$13})</f>
        <v>2</v>
      </c>
      <c r="K3" s="24">
        <f t="array" ref="K3">MEDIAN({'Observação Avaliador B- Turma e'!K$5:K$13; 'Observação Avaliador A - Turma '!K$5:K$13})</f>
        <v>14</v>
      </c>
    </row>
    <row r="4">
      <c r="A4" s="26" t="s">
        <v>106</v>
      </c>
      <c r="B4" s="24">
        <f t="array" ref="B4">MIN({'Observação Avaliador B- Turma e'!B$5:B$13; 'Observação Avaliador A - Turma '!B$5:B$13})</f>
        <v>2</v>
      </c>
      <c r="C4" s="24">
        <f t="array" ref="C4">MIN({'Observação Avaliador B- Turma e'!C$5:C$13; 'Observação Avaliador A - Turma '!C$5:C$13})</f>
        <v>1</v>
      </c>
      <c r="D4" s="24">
        <f t="array" ref="D4">MIN({'Observação Avaliador B- Turma e'!D$5:D$13; 'Observação Avaliador A - Turma '!D$5:D$13})</f>
        <v>2</v>
      </c>
      <c r="E4" s="24">
        <f t="array" ref="E4">MIN({'Observação Avaliador B- Turma e'!E$5:E$13; 'Observação Avaliador A - Turma '!E$5:E$13})</f>
        <v>0</v>
      </c>
      <c r="F4" s="24">
        <f t="array" ref="F4">MIN({'Observação Avaliador B- Turma e'!F$5:F$13; 'Observação Avaliador A - Turma '!F$5:F$13})</f>
        <v>1</v>
      </c>
      <c r="G4" s="24">
        <f t="array" ref="G4">MIN({'Observação Avaliador B- Turma e'!G$5:G$13; 'Observação Avaliador A - Turma '!G$5:G$13})</f>
        <v>0</v>
      </c>
      <c r="H4" s="24">
        <f t="array" ref="H4">MIN({'Observação Avaliador B- Turma e'!H$5:H$13; 'Observação Avaliador A - Turma '!H$5:H$13})</f>
        <v>0</v>
      </c>
      <c r="I4" s="24">
        <f t="array" ref="I4">MIN({'Observação Avaliador B- Turma e'!I$5:I$13; 'Observação Avaliador A - Turma '!I$5:I$13})</f>
        <v>2</v>
      </c>
      <c r="J4" s="24">
        <f t="array" ref="J4">MIN({'Observação Avaliador B- Turma e'!J$5:J$13; 'Observação Avaliador A - Turma '!J$5:J$13})</f>
        <v>2</v>
      </c>
      <c r="K4" s="24">
        <f t="array" ref="K4">MIN({'Observação Avaliador B- Turma e'!K$5:K$13; 'Observação Avaliador A - Turma '!K$5:K$13})</f>
        <v>11</v>
      </c>
    </row>
    <row r="5">
      <c r="A5" s="26" t="s">
        <v>107</v>
      </c>
      <c r="B5" s="24">
        <f t="array" ref="B5">_xlfn.STDEV.S({'Observação Avaliador B- Turma e'!B$5:B$13; 'Observação Avaliador A - Turma '!B$5:B$13})</f>
        <v>0</v>
      </c>
      <c r="C5" s="24">
        <f t="array" ref="C5">_xlfn.STDEV.S({'Observação Avaliador B- Turma e'!C$5:C$13; 'Observação Avaliador A - Turma '!C$5:C$13})</f>
        <v>0.4277926319</v>
      </c>
      <c r="D5" s="24">
        <f t="array" ref="D5">_xlfn.STDEV.S({'Observação Avaliador B- Turma e'!D$5:D$13; 'Observação Avaliador A - Turma '!D$5:D$13})</f>
        <v>0</v>
      </c>
      <c r="E5" s="24">
        <f t="array" ref="E5">_xlfn.STDEV.S({'Observação Avaliador B- Turma e'!E$5:E$13; 'Observação Avaliador A - Turma '!E$5:E$13})</f>
        <v>0</v>
      </c>
      <c r="F5" s="24">
        <f t="array" ref="F5">_xlfn.STDEV.S({'Observação Avaliador B- Turma e'!F$5:F$13; 'Observação Avaliador A - Turma '!F$5:F$13})</f>
        <v>0.4277926319</v>
      </c>
      <c r="G5" s="24">
        <f t="array" ref="G5">_xlfn.STDEV.S({'Observação Avaliador B- Turma e'!G$5:G$13; 'Observação Avaliador A - Turma '!G$5:G$13})</f>
        <v>0.8555852639</v>
      </c>
      <c r="H5" s="24">
        <f t="array" ref="H5">_xlfn.STDEV.S({'Observação Avaliador B- Turma e'!H$5:H$13; 'Observação Avaliador A - Turma '!H$5:H$13})</f>
        <v>0.5829830881</v>
      </c>
      <c r="I5" s="24">
        <f t="array" ref="I5">_xlfn.STDEV.S({'Observação Avaliador B- Turma e'!I$5:I$13; 'Observação Avaliador A - Turma '!I$5:I$13})</f>
        <v>0</v>
      </c>
      <c r="J5" s="24">
        <f t="array" ref="J5">_xlfn.STDEV.S({'Observação Avaliador B- Turma e'!J$5:J$13; 'Observação Avaliador A - Turma '!J$5:J$13})</f>
        <v>0</v>
      </c>
      <c r="K5" s="24">
        <f t="array" ref="K5">_xlfn.STDEV.S({'Observação Avaliador B- Turma e'!K$5:K$13; 'Observação Avaliador A - Turma '!K$5:K$13})</f>
        <v>1.567646752</v>
      </c>
    </row>
    <row r="6">
      <c r="A6" s="26" t="s">
        <v>108</v>
      </c>
      <c r="B6" s="24">
        <f t="shared" ref="B6:K6" si="1">IFERROR(B5/B2, 0)</f>
        <v>0</v>
      </c>
      <c r="C6" s="24">
        <f t="shared" si="1"/>
        <v>0.2406333555</v>
      </c>
      <c r="D6" s="24">
        <f t="shared" si="1"/>
        <v>0</v>
      </c>
      <c r="E6" s="24">
        <f t="shared" si="1"/>
        <v>0</v>
      </c>
      <c r="F6" s="24">
        <f t="shared" si="1"/>
        <v>0.2406333555</v>
      </c>
      <c r="G6" s="24">
        <f t="shared" si="1"/>
        <v>0.5923282596</v>
      </c>
      <c r="H6" s="24">
        <f t="shared" si="1"/>
        <v>0.6558559741</v>
      </c>
      <c r="I6" s="24">
        <f t="shared" si="1"/>
        <v>0</v>
      </c>
      <c r="J6" s="24">
        <f t="shared" si="1"/>
        <v>0</v>
      </c>
      <c r="K6" s="24">
        <f t="shared" si="1"/>
        <v>0.1128705662</v>
      </c>
    </row>
    <row r="8">
      <c r="A8" s="26" t="s">
        <v>113</v>
      </c>
      <c r="B8" s="24">
        <f t="array" ref="B8">AVERAGE({'Página3'!B$5:B$17; 'Observação Avaliador C- Turma c'!B$5:B$15})</f>
        <v>1.875</v>
      </c>
      <c r="C8" s="24">
        <f t="array" ref="C8">AVERAGE({'Página3'!C$5:C$17; 'Observação Avaliador C- Turma c'!C$5:C$15})</f>
        <v>1.291666667</v>
      </c>
      <c r="D8" s="24">
        <f t="array" ref="D8">AVERAGE({'Página3'!D$5:D$17; 'Observação Avaliador C- Turma c'!D$5:D$15})</f>
        <v>2</v>
      </c>
      <c r="E8" s="24">
        <f t="array" ref="E8">AVERAGE({'Página3'!E$5:E$17; 'Observação Avaliador C- Turma c'!E$5:E$15})</f>
        <v>1</v>
      </c>
      <c r="F8" s="24">
        <f t="array" ref="F8">AVERAGE({'Página3'!F$5:F$17; 'Observação Avaliador C- Turma c'!F$5:F$15})</f>
        <v>1.14047619</v>
      </c>
      <c r="G8" s="24">
        <f t="array" ref="G8">AVERAGE({'Página3'!G$5:G$17; 'Observação Avaliador C- Turma c'!G$5:G$15})</f>
        <v>1.318181818</v>
      </c>
      <c r="H8" s="24">
        <f t="array" ref="H8">AVERAGE({'Página3'!H$5:H$17; 'Observação Avaliador C- Turma c'!H$5:H$15})</f>
        <v>0.8095238095</v>
      </c>
      <c r="I8" s="24">
        <f t="array" ref="I8">AVERAGE({'Página3'!I$5:I$17; 'Observação Avaliador C- Turma c'!I$5:I$15})</f>
        <v>2</v>
      </c>
      <c r="J8" s="24">
        <f t="array" ref="J8">AVERAGE({'Página3'!J$5:J$17; 'Observação Avaliador C- Turma c'!J$5:J$15})</f>
        <v>2</v>
      </c>
      <c r="K8" s="24">
        <f t="array" ref="K8">AVERAGE({'Página3'!K$5:K$17; 'Observação Avaliador C- Turma c'!K$5:K$15})</f>
        <v>12.91458333</v>
      </c>
    </row>
    <row r="9">
      <c r="A9" s="26" t="s">
        <v>105</v>
      </c>
      <c r="B9" s="24">
        <f t="array" ref="B9">MEDIAN({'Página3'!B$5:B$17; 'Observação Avaliador C- Turma c'!B$5:B$15})</f>
        <v>2</v>
      </c>
      <c r="C9" s="24">
        <f t="array" ref="C9">MEDIAN({'Página3'!C$5:C$17; 'Observação Avaliador C- Turma c'!C$5:C$15})</f>
        <v>1</v>
      </c>
      <c r="D9" s="24">
        <f t="array" ref="D9">MEDIAN({'Página3'!D$5:D$17; 'Observação Avaliador C- Turma c'!D$5:D$15})</f>
        <v>2</v>
      </c>
      <c r="E9" s="24">
        <f t="array" ref="E9">MEDIAN({'Página3'!E$5:E$17; 'Observação Avaliador C- Turma c'!E$5:E$15})</f>
        <v>1</v>
      </c>
      <c r="F9" s="24">
        <f t="array" ref="F9">MEDIAN({'Página3'!F$5:F$17; 'Observação Avaliador C- Turma c'!F$5:F$15})</f>
        <v>1</v>
      </c>
      <c r="G9" s="24">
        <f t="array" ref="G9">MEDIAN({'Página3'!G$5:G$17; 'Observação Avaliador C- Turma c'!G$5:G$15})</f>
        <v>2</v>
      </c>
      <c r="H9" s="24">
        <f t="array" ref="H9">MEDIAN({'Página3'!H$5:H$17; 'Observação Avaliador C- Turma c'!H$5:H$15})</f>
        <v>1</v>
      </c>
      <c r="I9" s="24">
        <f t="array" ref="I9">MEDIAN({'Página3'!I$5:I$17; 'Observação Avaliador C- Turma c'!I$5:I$15})</f>
        <v>2</v>
      </c>
      <c r="J9" s="24">
        <f t="array" ref="J9">MEDIAN({'Página3'!J$5:J$17; 'Observação Avaliador C- Turma c'!J$5:J$15})</f>
        <v>2</v>
      </c>
      <c r="K9" s="24">
        <f t="array" ref="K9">MEDIAN({'Página3'!K$5:K$17; 'Observação Avaliador C- Turma c'!K$5:K$15})</f>
        <v>13</v>
      </c>
    </row>
    <row r="10">
      <c r="A10" s="26" t="s">
        <v>106</v>
      </c>
      <c r="B10" s="24">
        <f t="array" ref="B10">MIN({'Página3'!B$5:B$17; 'Observação Avaliador C- Turma c'!B$5:B$15})</f>
        <v>1</v>
      </c>
      <c r="C10" s="24">
        <f t="array" ref="C10">MIN({'Página3'!C$5:C$17; 'Observação Avaliador C- Turma c'!C$5:C$15})</f>
        <v>0</v>
      </c>
      <c r="D10" s="24">
        <f t="array" ref="D10">MIN({'Página3'!D$5:D$17; 'Observação Avaliador C- Turma c'!D$5:D$15})</f>
        <v>2</v>
      </c>
      <c r="E10" s="24">
        <f t="array" ref="E10">MIN({'Página3'!E$5:E$17; 'Observação Avaliador C- Turma c'!E$5:E$15})</f>
        <v>0</v>
      </c>
      <c r="F10" s="24">
        <f t="array" ref="F10">MIN({'Página3'!F$5:F$17; 'Observação Avaliador C- Turma c'!F$5:F$15})</f>
        <v>0.33</v>
      </c>
      <c r="G10" s="24">
        <f t="array" ref="G10">MIN({'Página3'!G$5:G$17; 'Observação Avaliador C- Turma c'!G$5:G$15})</f>
        <v>0</v>
      </c>
      <c r="H10" s="24">
        <f t="array" ref="H10">MIN({'Página3'!H$5:H$17; 'Observação Avaliador C- Turma c'!H$5:H$15})</f>
        <v>0</v>
      </c>
      <c r="I10" s="24">
        <f t="array" ref="I10">MIN({'Página3'!I$5:I$17; 'Observação Avaliador C- Turma c'!I$5:I$15})</f>
        <v>2</v>
      </c>
      <c r="J10" s="24">
        <f t="array" ref="J10">MIN({'Página3'!J$5:J$17; 'Observação Avaliador C- Turma c'!J$5:J$15})</f>
        <v>2</v>
      </c>
      <c r="K10" s="24">
        <f t="array" ref="K10">MIN({'Página3'!K$5:K$17; 'Observação Avaliador C- Turma c'!K$5:K$15})</f>
        <v>8.66</v>
      </c>
    </row>
    <row r="11">
      <c r="A11" s="26" t="s">
        <v>107</v>
      </c>
      <c r="B11" s="24">
        <f t="array" ref="B11">_xlfn.STDEV.S({'Página3'!B$5:B$17; 'Observação Avaliador C- Turma c'!B$5:B$15})</f>
        <v>0.3378319623</v>
      </c>
      <c r="C11" s="24">
        <f t="array" ref="C11">_xlfn.STDEV.S({'Página3'!C$5:C$17; 'Observação Avaliador C- Turma c'!C$5:C$15})</f>
        <v>0.6902530517</v>
      </c>
      <c r="D11" s="24">
        <f t="array" ref="D11">_xlfn.STDEV.S({'Página3'!D$5:D$17; 'Observação Avaliador C- Turma c'!D$5:D$15})</f>
        <v>0</v>
      </c>
      <c r="E11" s="24">
        <f t="array" ref="E11">_xlfn.STDEV.S({'Página3'!E$5:E$17; 'Observação Avaliador C- Turma c'!E$5:E$15})</f>
        <v>0.8340576562</v>
      </c>
      <c r="F11" s="24">
        <f t="array" ref="F11">_xlfn.STDEV.S({'Página3'!F$5:F$17; 'Observação Avaliador C- Turma c'!F$5:F$15})</f>
        <v>0.5452474318</v>
      </c>
      <c r="G11" s="24">
        <f t="array" ref="G11">_xlfn.STDEV.S({'Página3'!G$5:G$17; 'Observação Avaliador C- Turma c'!G$5:G$15})</f>
        <v>0.8937009</v>
      </c>
      <c r="H11" s="24">
        <f t="array" ref="H11">_xlfn.STDEV.S({'Página3'!H$5:H$17; 'Observação Avaliador C- Turma c'!H$5:H$15})</f>
        <v>0.6015852075</v>
      </c>
      <c r="I11" s="24">
        <f t="array" ref="I11">_xlfn.STDEV.S({'Página3'!I$5:I$17; 'Observação Avaliador C- Turma c'!I$5:I$15})</f>
        <v>0</v>
      </c>
      <c r="J11" s="24">
        <f t="array" ref="J11">_xlfn.STDEV.S({'Página3'!J$5:J$17; 'Observação Avaliador C- Turma c'!J$5:J$15})</f>
        <v>0</v>
      </c>
      <c r="K11" s="24">
        <f t="array" ref="K11">_xlfn.STDEV.S({'Página3'!K$5:K$17; 'Observação Avaliador C- Turma c'!K$5:K$15})</f>
        <v>1.784050056</v>
      </c>
    </row>
    <row r="12">
      <c r="A12" s="26" t="s">
        <v>108</v>
      </c>
      <c r="B12" s="24">
        <f t="shared" ref="B12:K12" si="2">IFERROR(B11/B8, 0)</f>
        <v>0.1801770466</v>
      </c>
      <c r="C12" s="24">
        <f t="shared" si="2"/>
        <v>0.5343894594</v>
      </c>
      <c r="D12" s="24">
        <f t="shared" si="2"/>
        <v>0</v>
      </c>
      <c r="E12" s="24">
        <f t="shared" si="2"/>
        <v>0.8340576562</v>
      </c>
      <c r="F12" s="24">
        <f t="shared" si="2"/>
        <v>0.4780875185</v>
      </c>
      <c r="G12" s="24">
        <f t="shared" si="2"/>
        <v>0.6779799931</v>
      </c>
      <c r="H12" s="24">
        <f t="shared" si="2"/>
        <v>0.7431346681</v>
      </c>
      <c r="I12" s="24">
        <f t="shared" si="2"/>
        <v>0</v>
      </c>
      <c r="J12" s="24">
        <f t="shared" si="2"/>
        <v>0</v>
      </c>
      <c r="K12" s="24">
        <f t="shared" si="2"/>
        <v>0.1381422853</v>
      </c>
    </row>
  </sheetData>
  <drawing r:id="rId1"/>
</worksheet>
</file>